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-master\Salarios-master\"/>
    </mc:Choice>
  </mc:AlternateContent>
  <bookViews>
    <workbookView xWindow="0" yWindow="0" windowWidth="19200" windowHeight="11505" activeTab="2"/>
  </bookViews>
  <sheets>
    <sheet name="Ficha Personal" sheetId="4" r:id="rId1"/>
    <sheet name="DB Empleados" sheetId="3" r:id="rId2"/>
    <sheet name="Libro Salarios" sheetId="2" r:id="rId3"/>
    <sheet name="Hoja1" sheetId="5" r:id="rId4"/>
  </sheets>
  <calcPr calcId="162913"/>
</workbook>
</file>

<file path=xl/calcChain.xml><?xml version="1.0" encoding="utf-8"?>
<calcChain xmlns="http://schemas.openxmlformats.org/spreadsheetml/2006/main">
  <c r="A17" i="2" l="1"/>
  <c r="A113" i="2"/>
  <c r="A114" i="2"/>
  <c r="A115" i="2"/>
  <c r="A116" i="2"/>
  <c r="A102" i="2"/>
  <c r="A103" i="2"/>
  <c r="A104" i="2"/>
  <c r="A105" i="2"/>
  <c r="A106" i="2"/>
  <c r="A107" i="2"/>
  <c r="A108" i="2"/>
  <c r="A109" i="2"/>
  <c r="A110" i="2"/>
  <c r="A111" i="2"/>
  <c r="A112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18" i="2"/>
  <c r="A19" i="2"/>
  <c r="A20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D54" i="2" s="1"/>
  <c r="C54" i="2" s="1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D96" i="2" l="1"/>
  <c r="C96" i="2" s="1"/>
  <c r="D62" i="2"/>
  <c r="C62" i="2" s="1"/>
  <c r="D58" i="2"/>
  <c r="C58" i="2" s="1"/>
  <c r="D48" i="2"/>
  <c r="C48" i="2" s="1"/>
  <c r="D106" i="2"/>
  <c r="C106" i="2" s="1"/>
  <c r="D88" i="2"/>
  <c r="C88" i="2" s="1"/>
  <c r="D72" i="2"/>
  <c r="C72" i="2" s="1"/>
  <c r="D90" i="2"/>
  <c r="C90" i="2" s="1"/>
  <c r="D64" i="2"/>
  <c r="C64" i="2" s="1"/>
  <c r="D60" i="2"/>
  <c r="C60" i="2" s="1"/>
  <c r="D107" i="2"/>
  <c r="C107" i="2" s="1"/>
  <c r="D91" i="2"/>
  <c r="C91" i="2" s="1"/>
  <c r="D87" i="2"/>
  <c r="C87" i="2" s="1"/>
  <c r="D73" i="2"/>
  <c r="C73" i="2" s="1"/>
  <c r="D86" i="2"/>
  <c r="C86" i="2" s="1"/>
  <c r="D80" i="2"/>
  <c r="C80" i="2" s="1"/>
  <c r="D70" i="2"/>
  <c r="C70" i="2" s="1"/>
  <c r="D68" i="2"/>
  <c r="C68" i="2" s="1"/>
  <c r="D56" i="2"/>
  <c r="C56" i="2" s="1"/>
  <c r="D110" i="2"/>
  <c r="C110" i="2" s="1"/>
  <c r="D108" i="2"/>
  <c r="C108" i="2" s="1"/>
  <c r="D100" i="2"/>
  <c r="C100" i="2" s="1"/>
  <c r="D46" i="2"/>
  <c r="C46" i="2" s="1"/>
  <c r="D44" i="2"/>
  <c r="C44" i="2" s="1"/>
  <c r="D109" i="2"/>
  <c r="C109" i="2" s="1"/>
  <c r="D93" i="2"/>
  <c r="C93" i="2" s="1"/>
  <c r="D89" i="2"/>
  <c r="C89" i="2" s="1"/>
  <c r="D77" i="2"/>
  <c r="C77" i="2" s="1"/>
  <c r="D47" i="2"/>
  <c r="C47" i="2" s="1"/>
  <c r="D113" i="2"/>
  <c r="C113" i="2" s="1"/>
  <c r="D105" i="2"/>
  <c r="C105" i="2" s="1"/>
  <c r="D99" i="2"/>
  <c r="C99" i="2" s="1"/>
  <c r="D81" i="2"/>
  <c r="C81" i="2" s="1"/>
  <c r="D75" i="2"/>
  <c r="C75" i="2" s="1"/>
  <c r="D67" i="2"/>
  <c r="C67" i="2" s="1"/>
  <c r="D61" i="2"/>
  <c r="C61" i="2" s="1"/>
  <c r="D51" i="2"/>
  <c r="C51" i="2" s="1"/>
  <c r="D65" i="2"/>
  <c r="C65" i="2" s="1"/>
  <c r="D53" i="2"/>
  <c r="C53" i="2" s="1"/>
  <c r="D49" i="2"/>
  <c r="C49" i="2" s="1"/>
  <c r="D45" i="2"/>
  <c r="C45" i="2" s="1"/>
  <c r="D41" i="2"/>
  <c r="C41" i="2" s="1"/>
  <c r="D43" i="2"/>
  <c r="C43" i="2" s="1"/>
  <c r="D116" i="2"/>
  <c r="C116" i="2" s="1"/>
  <c r="K116" i="2" s="1"/>
  <c r="L116" i="2" s="1"/>
  <c r="D114" i="2"/>
  <c r="C114" i="2" s="1"/>
  <c r="D112" i="2"/>
  <c r="C112" i="2" s="1"/>
  <c r="K112" i="2" s="1"/>
  <c r="L112" i="2" s="1"/>
  <c r="D104" i="2"/>
  <c r="C104" i="2" s="1"/>
  <c r="D102" i="2"/>
  <c r="C102" i="2" s="1"/>
  <c r="K102" i="2" s="1"/>
  <c r="L102" i="2" s="1"/>
  <c r="D98" i="2"/>
  <c r="C98" i="2" s="1"/>
  <c r="D94" i="2"/>
  <c r="C94" i="2" s="1"/>
  <c r="K94" i="2" s="1"/>
  <c r="L94" i="2" s="1"/>
  <c r="D92" i="2"/>
  <c r="C92" i="2" s="1"/>
  <c r="D84" i="2"/>
  <c r="C84" i="2" s="1"/>
  <c r="K84" i="2" s="1"/>
  <c r="L84" i="2" s="1"/>
  <c r="D82" i="2"/>
  <c r="C82" i="2" s="1"/>
  <c r="D78" i="2"/>
  <c r="C78" i="2" s="1"/>
  <c r="K78" i="2" s="1"/>
  <c r="L78" i="2" s="1"/>
  <c r="D76" i="2"/>
  <c r="C76" i="2" s="1"/>
  <c r="D74" i="2"/>
  <c r="C74" i="2" s="1"/>
  <c r="K74" i="2" s="1"/>
  <c r="L74" i="2" s="1"/>
  <c r="D66" i="2"/>
  <c r="C66" i="2" s="1"/>
  <c r="D52" i="2"/>
  <c r="C52" i="2" s="1"/>
  <c r="K52" i="2" s="1"/>
  <c r="L52" i="2" s="1"/>
  <c r="D50" i="2"/>
  <c r="C50" i="2" s="1"/>
  <c r="D38" i="2"/>
  <c r="C38" i="2" s="1"/>
  <c r="K38" i="2" s="1"/>
  <c r="L38" i="2" s="1"/>
  <c r="D36" i="2"/>
  <c r="C36" i="2" s="1"/>
  <c r="D28" i="2"/>
  <c r="C28" i="2" s="1"/>
  <c r="K28" i="2" s="1"/>
  <c r="L28" i="2" s="1"/>
  <c r="D20" i="2"/>
  <c r="C20" i="2" s="1"/>
  <c r="D42" i="2"/>
  <c r="C42" i="2" s="1"/>
  <c r="K42" i="2" s="1"/>
  <c r="L42" i="2" s="1"/>
  <c r="D40" i="2"/>
  <c r="C40" i="2" s="1"/>
  <c r="D34" i="2"/>
  <c r="C34" i="2" s="1"/>
  <c r="K34" i="2" s="1"/>
  <c r="L34" i="2" s="1"/>
  <c r="D32" i="2"/>
  <c r="C32" i="2" s="1"/>
  <c r="D30" i="2"/>
  <c r="C30" i="2" s="1"/>
  <c r="K30" i="2" s="1"/>
  <c r="L30" i="2" s="1"/>
  <c r="D26" i="2"/>
  <c r="C26" i="2" s="1"/>
  <c r="D24" i="2"/>
  <c r="C24" i="2" s="1"/>
  <c r="K24" i="2" s="1"/>
  <c r="L24" i="2" s="1"/>
  <c r="D22" i="2"/>
  <c r="C22" i="2" s="1"/>
  <c r="D18" i="2"/>
  <c r="C18" i="2" s="1"/>
  <c r="K18" i="2" s="1"/>
  <c r="L18" i="2" s="1"/>
  <c r="D115" i="2"/>
  <c r="C115" i="2" s="1"/>
  <c r="D111" i="2"/>
  <c r="C111" i="2" s="1"/>
  <c r="K111" i="2" s="1"/>
  <c r="L111" i="2" s="1"/>
  <c r="D103" i="2"/>
  <c r="C103" i="2" s="1"/>
  <c r="D101" i="2"/>
  <c r="C101" i="2" s="1"/>
  <c r="K101" i="2" s="1"/>
  <c r="L101" i="2" s="1"/>
  <c r="D97" i="2"/>
  <c r="C97" i="2" s="1"/>
  <c r="D95" i="2"/>
  <c r="C95" i="2" s="1"/>
  <c r="K95" i="2" s="1"/>
  <c r="L95" i="2" s="1"/>
  <c r="D85" i="2"/>
  <c r="C85" i="2" s="1"/>
  <c r="D83" i="2"/>
  <c r="C83" i="2" s="1"/>
  <c r="K83" i="2" s="1"/>
  <c r="L83" i="2" s="1"/>
  <c r="D79" i="2"/>
  <c r="C79" i="2" s="1"/>
  <c r="D71" i="2"/>
  <c r="C71" i="2" s="1"/>
  <c r="K71" i="2" s="1"/>
  <c r="L71" i="2" s="1"/>
  <c r="D69" i="2"/>
  <c r="C69" i="2" s="1"/>
  <c r="D63" i="2"/>
  <c r="C63" i="2" s="1"/>
  <c r="K63" i="2" s="1"/>
  <c r="L63" i="2" s="1"/>
  <c r="D59" i="2"/>
  <c r="C59" i="2" s="1"/>
  <c r="D57" i="2"/>
  <c r="C57" i="2" s="1"/>
  <c r="K57" i="2" s="1"/>
  <c r="L57" i="2" s="1"/>
  <c r="D55" i="2"/>
  <c r="C55" i="2" s="1"/>
  <c r="D39" i="2"/>
  <c r="C39" i="2" s="1"/>
  <c r="K39" i="2" s="1"/>
  <c r="L39" i="2" s="1"/>
  <c r="D37" i="2"/>
  <c r="C37" i="2" s="1"/>
  <c r="D35" i="2"/>
  <c r="C35" i="2" s="1"/>
  <c r="K35" i="2" s="1"/>
  <c r="L35" i="2" s="1"/>
  <c r="D33" i="2"/>
  <c r="C33" i="2" s="1"/>
  <c r="D31" i="2"/>
  <c r="C31" i="2" s="1"/>
  <c r="K31" i="2" s="1"/>
  <c r="L31" i="2" s="1"/>
  <c r="D29" i="2"/>
  <c r="C29" i="2" s="1"/>
  <c r="D27" i="2"/>
  <c r="C27" i="2" s="1"/>
  <c r="K27" i="2" s="1"/>
  <c r="L27" i="2" s="1"/>
  <c r="D25" i="2"/>
  <c r="C25" i="2" s="1"/>
  <c r="D23" i="2"/>
  <c r="C23" i="2" s="1"/>
  <c r="K23" i="2" s="1"/>
  <c r="L23" i="2" s="1"/>
  <c r="D21" i="2"/>
  <c r="C21" i="2" s="1"/>
  <c r="D19" i="2"/>
  <c r="C19" i="2" s="1"/>
  <c r="K19" i="2" s="1"/>
  <c r="L19" i="2" s="1"/>
  <c r="D17" i="2"/>
  <c r="C17" i="2" s="1"/>
  <c r="H6" i="3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K58" i="2" l="1"/>
  <c r="L58" i="2" s="1"/>
  <c r="K96" i="2"/>
  <c r="L96" i="2" s="1"/>
  <c r="K21" i="2"/>
  <c r="L21" i="2" s="1"/>
  <c r="K25" i="2"/>
  <c r="L25" i="2" s="1"/>
  <c r="K29" i="2"/>
  <c r="L29" i="2" s="1"/>
  <c r="K33" i="2"/>
  <c r="L33" i="2" s="1"/>
  <c r="K37" i="2"/>
  <c r="L37" i="2" s="1"/>
  <c r="K55" i="2"/>
  <c r="L55" i="2" s="1"/>
  <c r="K59" i="2"/>
  <c r="L59" i="2" s="1"/>
  <c r="K69" i="2"/>
  <c r="L69" i="2" s="1"/>
  <c r="K79" i="2"/>
  <c r="L79" i="2" s="1"/>
  <c r="K85" i="2"/>
  <c r="L85" i="2" s="1"/>
  <c r="K97" i="2"/>
  <c r="L97" i="2" s="1"/>
  <c r="K103" i="2"/>
  <c r="L103" i="2" s="1"/>
  <c r="K115" i="2"/>
  <c r="L115" i="2" s="1"/>
  <c r="K22" i="2"/>
  <c r="L22" i="2" s="1"/>
  <c r="K26" i="2"/>
  <c r="L26" i="2" s="1"/>
  <c r="K32" i="2"/>
  <c r="L32" i="2" s="1"/>
  <c r="K40" i="2"/>
  <c r="L40" i="2" s="1"/>
  <c r="K20" i="2"/>
  <c r="L20" i="2" s="1"/>
  <c r="K36" i="2"/>
  <c r="L36" i="2" s="1"/>
  <c r="K50" i="2"/>
  <c r="L50" i="2" s="1"/>
  <c r="K66" i="2"/>
  <c r="L66" i="2" s="1"/>
  <c r="K76" i="2"/>
  <c r="L76" i="2" s="1"/>
  <c r="K82" i="2"/>
  <c r="L82" i="2" s="1"/>
  <c r="K92" i="2"/>
  <c r="L92" i="2" s="1"/>
  <c r="K98" i="2"/>
  <c r="L98" i="2" s="1"/>
  <c r="K104" i="2"/>
  <c r="L104" i="2" s="1"/>
  <c r="K114" i="2"/>
  <c r="L114" i="2" s="1"/>
  <c r="K43" i="2"/>
  <c r="L43" i="2" s="1"/>
  <c r="K45" i="2"/>
  <c r="L45" i="2" s="1"/>
  <c r="K53" i="2"/>
  <c r="L53" i="2" s="1"/>
  <c r="K51" i="2"/>
  <c r="L51" i="2" s="1"/>
  <c r="K67" i="2"/>
  <c r="L67" i="2" s="1"/>
  <c r="K81" i="2"/>
  <c r="L81" i="2" s="1"/>
  <c r="K105" i="2"/>
  <c r="L105" i="2" s="1"/>
  <c r="K47" i="2"/>
  <c r="L47" i="2" s="1"/>
  <c r="K89" i="2"/>
  <c r="L89" i="2" s="1"/>
  <c r="K109" i="2"/>
  <c r="L109" i="2" s="1"/>
  <c r="K46" i="2"/>
  <c r="L46" i="2" s="1"/>
  <c r="K108" i="2"/>
  <c r="L108" i="2" s="1"/>
  <c r="K56" i="2"/>
  <c r="L56" i="2" s="1"/>
  <c r="K70" i="2"/>
  <c r="L70" i="2" s="1"/>
  <c r="K86" i="2"/>
  <c r="L86" i="2" s="1"/>
  <c r="K87" i="2"/>
  <c r="L87" i="2" s="1"/>
  <c r="K107" i="2"/>
  <c r="L107" i="2" s="1"/>
  <c r="K64" i="2"/>
  <c r="L64" i="2" s="1"/>
  <c r="K48" i="2"/>
  <c r="L48" i="2" s="1"/>
  <c r="K72" i="2"/>
  <c r="L72" i="2" s="1"/>
  <c r="K41" i="2"/>
  <c r="L41" i="2" s="1"/>
  <c r="K49" i="2"/>
  <c r="L49" i="2" s="1"/>
  <c r="K65" i="2"/>
  <c r="L65" i="2" s="1"/>
  <c r="K61" i="2"/>
  <c r="L61" i="2" s="1"/>
  <c r="K75" i="2"/>
  <c r="L75" i="2" s="1"/>
  <c r="K99" i="2"/>
  <c r="L99" i="2" s="1"/>
  <c r="K113" i="2"/>
  <c r="L113" i="2" s="1"/>
  <c r="K77" i="2"/>
  <c r="L77" i="2" s="1"/>
  <c r="K93" i="2"/>
  <c r="L93" i="2" s="1"/>
  <c r="K44" i="2"/>
  <c r="L44" i="2" s="1"/>
  <c r="K100" i="2"/>
  <c r="L100" i="2" s="1"/>
  <c r="K110" i="2"/>
  <c r="L110" i="2" s="1"/>
  <c r="K68" i="2"/>
  <c r="L68" i="2" s="1"/>
  <c r="K80" i="2"/>
  <c r="L80" i="2" s="1"/>
  <c r="K73" i="2"/>
  <c r="L73" i="2" s="1"/>
  <c r="K91" i="2"/>
  <c r="L91" i="2" s="1"/>
  <c r="K60" i="2"/>
  <c r="L60" i="2" s="1"/>
  <c r="K90" i="2"/>
  <c r="L90" i="2" s="1"/>
  <c r="K54" i="2"/>
  <c r="L54" i="2" s="1"/>
  <c r="K62" i="2"/>
  <c r="L62" i="2" s="1"/>
  <c r="K88" i="2"/>
  <c r="L88" i="2" s="1"/>
  <c r="K106" i="2"/>
  <c r="L106" i="2" s="1"/>
  <c r="K17" i="2"/>
  <c r="L17" i="2" s="1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<sst xmlns="http://schemas.openxmlformats.org/spreadsheetml/2006/main" count="472" uniqueCount="186">
  <si>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</si>
  <si>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</si>
  <si>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</si>
  <si>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</si>
  <si>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</si>
  <si>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</si>
  <si>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</si>
  <si>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</si>
  <si>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</si>
  <si>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</si>
  <si>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</si>
  <si>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</si>
  <si>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</si>
  <si>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</si>
  <si>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</si>
  <si>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</si>
  <si>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</si>
  <si>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</si>
  <si>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</si>
  <si>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</si>
  <si>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</si>
  <si>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</si>
  <si>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</si>
  <si>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</si>
  <si>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</si>
  <si>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</si>
  <si>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</si>
  <si>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</si>
  <si>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</si>
  <si>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</si>
  <si>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</si>
  <si>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</si>
  <si>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</si>
  <si>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</si>
  <si>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</si>
  <si>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</si>
  <si>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</si>
  <si>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</si>
  <si>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</si>
  <si>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</si>
  <si>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</si>
  <si>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</si>
  <si>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</si>
  <si>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</si>
  <si>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</si>
  <si>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</si>
  <si>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</si>
  <si>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</si>
  <si>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</si>
  <si>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</si>
  <si>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</si>
  <si>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</si>
  <si>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</si>
  <si>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</si>
  <si>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</si>
  <si>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</si>
  <si>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</si>
  <si>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</si>
  <si>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</si>
  <si>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</si>
  <si>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</si>
  <si>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</si>
  <si>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</si>
  <si>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</si>
  <si>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</si>
  <si>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</si>
  <si>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</si>
  <si>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</si>
  <si>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</si>
  <si>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</si>
  <si>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</si>
  <si>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</si>
  <si>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</si>
  <si>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</si>
  <si>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</si>
  <si>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</si>
  <si>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</si>
  <si>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</si>
  <si>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</si>
  <si>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</si>
  <si>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</si>
  <si>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</si>
  <si>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</si>
  <si>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</si>
  <si>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</si>
  <si>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</si>
  <si>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</si>
  <si>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</si>
  <si>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</si>
  <si>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</si>
  <si>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</si>
  <si>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</si>
  <si>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</si>
  <si>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</si>
  <si>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</si>
  <si>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</si>
  <si>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</si>
  <si>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</si>
  <si>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</si>
  <si>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</si>
  <si>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</si>
  <si>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</si>
  <si>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</si>
  <si>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</si>
  <si>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</si>
  <si>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</si>
  <si>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</si>
  <si>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</si>
  <si>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</si>
  <si>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</si>
  <si>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</si>
  <si>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</si>
  <si>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</si>
  <si>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</si>
  <si>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</si>
  <si>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</si>
  <si>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</si>
  <si>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</si>
  <si>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</si>
  <si>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</si>
  <si>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</si>
  <si>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</si>
  <si>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</si>
  <si>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</si>
  <si>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</si>
  <si>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</si>
  <si>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</si>
  <si>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</si>
  <si>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</si>
  <si>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</si>
  <si>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</si>
  <si>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</si>
  <si>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</si>
  <si>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</si>
  <si>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</si>
  <si>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</si>
  <si>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</si>
  <si>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</si>
  <si>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</si>
  <si>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</si>
  <si>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</si>
  <si>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</si>
  <si>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</si>
  <si>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</si>
  <si>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</si>
  <si>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</si>
  <si>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</si>
  <si>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</si>
  <si>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</si>
  <si>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</si>
  <si>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</si>
  <si>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</si>
  <si>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</si>
  <si>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</si>
  <si>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</si>
  <si>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</si>
  <si>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</si>
  <si>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</si>
  <si>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</si>
  <si>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</si>
  <si>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</si>
  <si>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</si>
  <si>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</si>
  <si>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</si>
  <si>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</si>
  <si>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</si>
  <si>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</si>
  <si>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</si>
  <si>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</si>
  <si>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</si>
  <si>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</si>
  <si>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</si>
  <si>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</si>
  <si>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</si>
  <si>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</si>
  <si>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</si>
  <si>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</si>
  <si>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</si>
  <si>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</si>
  <si>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</si>
  <si>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</si>
  <si>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</si>
  <si>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</si>
  <si>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</si>
  <si>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Christian Castañon</t>
  </si>
  <si>
    <t>5to Baco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</si>
</sst>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Q&quot;* #,##0.00_);_(&quot;Q&quot;* \(#,##0.00\);_(&quot;Q&quot;* &quot;-&quot;??_);_(@_)"/>
    <numFmt numFmtId="164" formatCode="[$-409]d\-mmm\-yyyy;@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1" fillId="0" borderId="0" xfId="0" applyFont="1"/>
    <xf numFmtId="44" fontId="7" fillId="0" borderId="0" xfId="0" applyNumberFormat="1" applyFont="1" applyBorder="1"/>
    <xf numFmtId="2" fontId="0" fillId="0" borderId="0" xfId="0" applyNumberFormat="1"/>
    <xf numFmtId="0" fontId="0" fillId="5" borderId="0" xfId="0" applyFill="1" applyBorder="1" applyAlignment="1">
      <alignment horizontal="center"/>
    </xf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D14" sqref="D14:E14"/>
    </sheetView>
  </sheetViews>
  <sheetFormatPr baseColWidth="10" defaultRowHeight="15"/>
  <cols>
    <col min="9" max="11" width="2.7109375" style="53" customWidth="1"/>
  </cols>
  <sheetData>
    <row r="3" spans="2:11" ht="15.75" thickBot="1"/>
    <row r="4" spans="2:11">
      <c r="B4" s="57" t="s">
        <v>174</v>
      </c>
      <c r="C4" s="58"/>
      <c r="D4" s="58"/>
      <c r="E4" s="58"/>
      <c r="F4" s="59"/>
    </row>
    <row r="5" spans="2:11">
      <c r="B5" s="60"/>
      <c r="C5" s="61"/>
      <c r="D5" s="61"/>
      <c r="E5" s="61"/>
      <c r="F5" s="62"/>
      <c r="I5" s="53">
        <v>1</v>
      </c>
      <c r="J5" s="53" t="s">
        <v>180</v>
      </c>
      <c r="K5" s="53" t="s">
        <v>182</v>
      </c>
    </row>
    <row r="6" spans="2:11" ht="15.75" thickBot="1">
      <c r="B6" s="63"/>
      <c r="C6" s="64"/>
      <c r="D6" s="64"/>
      <c r="E6" s="64"/>
      <c r="F6" s="65"/>
      <c r="I6" s="53">
        <v>2</v>
      </c>
      <c r="J6" s="53" t="s">
        <v>181</v>
      </c>
      <c r="K6" s="53" t="s">
        <v>183</v>
      </c>
    </row>
    <row r="7" spans="2:11">
      <c r="B7" s="46"/>
      <c r="C7" s="47"/>
      <c r="D7" s="47"/>
      <c r="E7" s="47"/>
      <c r="F7" s="48"/>
      <c r="I7" s="53">
        <v>3</v>
      </c>
    </row>
    <row r="8" spans="2:11">
      <c r="B8" s="46"/>
      <c r="C8" s="49" t="s">
        <v>175</v>
      </c>
      <c r="D8" s="56">
        <v>4</v>
      </c>
      <c r="E8" s="56"/>
      <c r="F8" s="48"/>
      <c r="I8" s="53">
        <v>4</v>
      </c>
    </row>
    <row r="9" spans="2:11">
      <c r="B9" s="46"/>
      <c r="C9" s="47"/>
      <c r="D9" s="47"/>
      <c r="E9" s="47"/>
      <c r="F9" s="48"/>
      <c r="I9" s="53">
        <v>5</v>
      </c>
    </row>
    <row r="10" spans="2:11">
      <c r="B10" s="46"/>
      <c r="C10" s="49" t="s">
        <v>176</v>
      </c>
      <c r="D10" s="56" t="s">
        <v>184</v>
      </c>
      <c r="E10" s="56"/>
      <c r="F10" s="48"/>
      <c r="I10" s="53">
        <v>6</v>
      </c>
    </row>
    <row r="11" spans="2:11">
      <c r="B11" s="46"/>
      <c r="C11" s="47"/>
      <c r="D11" s="47"/>
      <c r="E11" s="47"/>
      <c r="F11" s="48"/>
      <c r="I11" s="53">
        <v>7</v>
      </c>
    </row>
    <row r="12" spans="2:11">
      <c r="B12" s="46"/>
      <c r="C12" s="49" t="s">
        <v>177</v>
      </c>
      <c r="D12" s="56" t="s">
        <v>185</v>
      </c>
      <c r="E12" s="56"/>
      <c r="F12" s="48"/>
      <c r="I12" s="53">
        <v>8</v>
      </c>
    </row>
    <row r="13" spans="2:11">
      <c r="B13" s="46"/>
      <c r="C13" s="47"/>
      <c r="D13" s="47"/>
      <c r="E13" s="47"/>
      <c r="F13" s="48"/>
      <c r="I13" s="53">
        <v>9</v>
      </c>
    </row>
    <row r="14" spans="2:11">
      <c r="B14" s="46"/>
      <c r="C14" s="49" t="s">
        <v>178</v>
      </c>
      <c r="D14" s="56" t="s">
        <v>180</v>
      </c>
      <c r="E14" s="56"/>
      <c r="F14" s="48"/>
      <c r="I14" s="53">
        <v>10</v>
      </c>
    </row>
    <row r="15" spans="2:11">
      <c r="B15" s="46"/>
      <c r="C15" s="47"/>
      <c r="D15" s="47"/>
      <c r="E15" s="47"/>
      <c r="F15" s="48"/>
      <c r="I15" s="53">
        <v>11</v>
      </c>
    </row>
    <row r="16" spans="2:11">
      <c r="B16" s="46"/>
      <c r="C16" s="49" t="s">
        <v>179</v>
      </c>
      <c r="D16" s="56" t="s">
        <v>182</v>
      </c>
      <c r="E16" s="56"/>
      <c r="F16" s="48"/>
      <c r="I16" s="53">
        <v>12</v>
      </c>
    </row>
    <row r="17" spans="2:9">
      <c r="B17" s="46"/>
      <c r="C17" s="47"/>
      <c r="D17" s="47"/>
      <c r="E17" s="47"/>
      <c r="F17" s="48"/>
      <c r="I17" s="53">
        <v>13</v>
      </c>
    </row>
    <row r="18" spans="2:9" ht="15.75" thickBot="1">
      <c r="B18" s="50"/>
      <c r="C18" s="51"/>
      <c r="D18" s="51"/>
      <c r="E18" s="51"/>
      <c r="F18" s="52"/>
      <c r="I18" s="53">
        <v>14</v>
      </c>
    </row>
    <row r="19" spans="2:9">
      <c r="I19" s="53">
        <v>15</v>
      </c>
    </row>
    <row r="20" spans="2:9">
      <c r="I20" s="53">
        <v>16</v>
      </c>
    </row>
    <row r="21" spans="2:9">
      <c r="I21" s="53">
        <v>17</v>
      </c>
    </row>
    <row r="22" spans="2:9">
      <c r="I22" s="53">
        <v>18</v>
      </c>
    </row>
    <row r="23" spans="2:9">
      <c r="I23" s="53">
        <v>19</v>
      </c>
    </row>
    <row r="24" spans="2:9">
      <c r="I24" s="53">
        <v>20</v>
      </c>
    </row>
    <row r="25" spans="2:9">
      <c r="I25" s="53">
        <v>21</v>
      </c>
    </row>
    <row r="26" spans="2:9">
      <c r="I26" s="53">
        <v>22</v>
      </c>
    </row>
    <row r="27" spans="2:9">
      <c r="I27" s="53">
        <v>23</v>
      </c>
    </row>
    <row r="28" spans="2:9">
      <c r="I28" s="53">
        <v>24</v>
      </c>
    </row>
    <row r="29" spans="2:9">
      <c r="I29" s="53">
        <v>25</v>
      </c>
    </row>
    <row r="30" spans="2:9">
      <c r="I30" s="53">
        <v>26</v>
      </c>
    </row>
    <row r="31" spans="2:9">
      <c r="I31" s="53">
        <v>27</v>
      </c>
    </row>
    <row r="32" spans="2:9">
      <c r="I32" s="53">
        <v>28</v>
      </c>
    </row>
    <row r="33" spans="9:9">
      <c r="I33" s="53">
        <v>29</v>
      </c>
    </row>
    <row r="34" spans="9:9">
      <c r="I34" s="53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B7" sqref="B7"/>
    </sheetView>
  </sheetViews>
  <sheetFormatPr baseColWidth="10" defaultColWidth="11.5703125" defaultRowHeight="15.75"/>
  <cols>
    <col min="1" max="1" width="24.28515625" style="43" bestFit="1" customWidth="1"/>
    <col min="2" max="2" width="35" style="33" bestFit="1" customWidth="1"/>
    <col min="3" max="3" width="22.28515625" style="34" bestFit="1" customWidth="1"/>
    <col min="4" max="4" width="11.28515625" style="35" bestFit="1" customWidth="1"/>
    <col min="5" max="5" width="8.85546875" style="33" bestFit="1" customWidth="1"/>
    <col min="6" max="6" width="23.85546875" style="33" bestFit="1" customWidth="1"/>
    <col min="7" max="7" width="14.42578125" style="36" bestFit="1" customWidth="1"/>
    <col min="8" max="8" width="21.140625" style="33" bestFit="1" customWidth="1"/>
    <col min="9" max="9" width="31.140625" style="33" bestFit="1" customWidth="1"/>
    <col min="10" max="16384" width="11.5703125" style="33"/>
  </cols>
  <sheetData>
    <row r="1" spans="1:9" ht="15.6" customHeight="1">
      <c r="A1" s="66" t="s">
        <v>171</v>
      </c>
      <c r="B1" s="66"/>
      <c r="C1" s="66"/>
      <c r="D1" s="66"/>
      <c r="E1" s="66"/>
      <c r="F1" s="66"/>
      <c r="G1" s="66"/>
      <c r="H1" s="66"/>
      <c r="I1" s="66"/>
    </row>
    <row r="2" spans="1:9" ht="15.6" customHeight="1">
      <c r="A2" s="66"/>
      <c r="B2" s="66"/>
      <c r="C2" s="66"/>
      <c r="D2" s="66"/>
      <c r="E2" s="66"/>
      <c r="F2" s="66"/>
      <c r="G2" s="66"/>
      <c r="H2" s="66"/>
      <c r="I2" s="66"/>
    </row>
    <row r="4" spans="1:9">
      <c r="A4" s="37" t="s">
        <v>46</v>
      </c>
      <c r="B4" s="37" t="s">
        <v>47</v>
      </c>
      <c r="C4" s="37" t="s">
        <v>173</v>
      </c>
      <c r="D4" s="37" t="s">
        <v>6</v>
      </c>
      <c r="E4" s="37" t="s">
        <v>5</v>
      </c>
      <c r="F4" s="37" t="s">
        <v>49</v>
      </c>
      <c r="G4" s="38" t="s">
        <v>50</v>
      </c>
      <c r="H4" s="37" t="s">
        <v>11</v>
      </c>
      <c r="I4" s="37" t="s">
        <v>51</v>
      </c>
    </row>
    <row r="5" spans="1:9">
      <c r="A5" s="43">
        <v>1</v>
      </c>
      <c r="B5" s="39" t="s">
        <v>52</v>
      </c>
      <c r="C5" s="40">
        <f t="shared" ref="C5:C36" ca="1" si="0">RANDBETWEEN(25,30)</f>
        <v>28</v>
      </c>
      <c r="D5" s="35" t="s">
        <v>152</v>
      </c>
      <c r="E5" s="35">
        <f t="shared" ref="E5:E36" ca="1" si="1">RANDBETWEEN(18,41)</f>
        <v>36</v>
      </c>
      <c r="F5" s="35" t="s">
        <v>155</v>
      </c>
      <c r="G5" s="41">
        <f t="shared" ref="G5:G36" ca="1" si="2">RANDBETWEEN(2000000000101,9000000009999)</f>
        <v>7511653542545</v>
      </c>
      <c r="H5" s="42">
        <f t="shared" ref="H5:H36" ca="1" si="3">RANDBETWEEN(DATE(2001,1,1),DATE(2018,7,15))</f>
        <v>38317</v>
      </c>
      <c r="I5" s="35" t="s">
        <v>170</v>
      </c>
    </row>
    <row r="6" spans="1:9">
      <c r="A6" s="43">
        <v>2</v>
      </c>
      <c r="B6" s="39" t="s">
        <v>53</v>
      </c>
      <c r="C6" s="40">
        <f t="shared" ca="1" si="0"/>
        <v>29</v>
      </c>
      <c r="D6" s="35" t="s">
        <v>152</v>
      </c>
      <c r="E6" s="35">
        <f t="shared" ca="1" si="1"/>
        <v>23</v>
      </c>
      <c r="F6" s="35" t="s">
        <v>156</v>
      </c>
      <c r="G6" s="41">
        <f t="shared" ca="1" si="2"/>
        <v>7585049143519</v>
      </c>
      <c r="H6" s="42">
        <f t="shared" ca="1" si="3"/>
        <v>37253</v>
      </c>
      <c r="I6" s="35" t="s">
        <v>170</v>
      </c>
    </row>
    <row r="7" spans="1:9">
      <c r="A7" s="43">
        <v>3</v>
      </c>
      <c r="B7" s="39" t="s">
        <v>54</v>
      </c>
      <c r="C7" s="40">
        <f t="shared" ca="1" si="0"/>
        <v>30</v>
      </c>
      <c r="D7" s="35" t="s">
        <v>152</v>
      </c>
      <c r="E7" s="35">
        <f t="shared" ca="1" si="1"/>
        <v>30</v>
      </c>
      <c r="F7" s="35" t="s">
        <v>158</v>
      </c>
      <c r="G7" s="41">
        <f t="shared" ca="1" si="2"/>
        <v>2779295405701</v>
      </c>
      <c r="H7" s="42">
        <f t="shared" ca="1" si="3"/>
        <v>42468</v>
      </c>
      <c r="I7" s="35" t="s">
        <v>170</v>
      </c>
    </row>
    <row r="8" spans="1:9">
      <c r="A8" s="43">
        <v>4</v>
      </c>
      <c r="B8" s="39" t="s">
        <v>55</v>
      </c>
      <c r="C8" s="40">
        <f t="shared" ca="1" si="0"/>
        <v>26</v>
      </c>
      <c r="D8" s="35" t="s">
        <v>152</v>
      </c>
      <c r="E8" s="35">
        <f t="shared" ca="1" si="1"/>
        <v>27</v>
      </c>
      <c r="F8" s="35" t="s">
        <v>160</v>
      </c>
      <c r="G8" s="41">
        <f t="shared" ca="1" si="2"/>
        <v>4729591421038</v>
      </c>
      <c r="H8" s="42">
        <f t="shared" ca="1" si="3"/>
        <v>39981</v>
      </c>
      <c r="I8" s="35" t="s">
        <v>170</v>
      </c>
    </row>
    <row r="9" spans="1:9">
      <c r="A9" s="43">
        <v>10</v>
      </c>
      <c r="B9" s="39" t="s">
        <v>61</v>
      </c>
      <c r="C9" s="40">
        <f t="shared" ca="1" si="0"/>
        <v>26</v>
      </c>
      <c r="D9" s="35" t="s">
        <v>152</v>
      </c>
      <c r="E9" s="35">
        <f t="shared" ca="1" si="1"/>
        <v>31</v>
      </c>
      <c r="F9" s="35" t="s">
        <v>167</v>
      </c>
      <c r="G9" s="41">
        <f t="shared" ca="1" si="2"/>
        <v>6209466509791</v>
      </c>
      <c r="H9" s="42">
        <f t="shared" ca="1" si="3"/>
        <v>38524</v>
      </c>
      <c r="I9" s="35" t="s">
        <v>170</v>
      </c>
    </row>
    <row r="10" spans="1:9">
      <c r="A10" s="43">
        <v>5</v>
      </c>
      <c r="B10" s="39" t="s">
        <v>56</v>
      </c>
      <c r="C10" s="40">
        <f t="shared" ca="1" si="0"/>
        <v>28</v>
      </c>
      <c r="D10" s="35" t="s">
        <v>152</v>
      </c>
      <c r="E10" s="35">
        <f t="shared" ca="1" si="1"/>
        <v>26</v>
      </c>
      <c r="F10" s="35" t="s">
        <v>162</v>
      </c>
      <c r="G10" s="41">
        <f t="shared" ca="1" si="2"/>
        <v>5226887916144</v>
      </c>
      <c r="H10" s="42">
        <f t="shared" ca="1" si="3"/>
        <v>38805</v>
      </c>
      <c r="I10" s="35" t="s">
        <v>170</v>
      </c>
    </row>
    <row r="11" spans="1:9">
      <c r="A11" s="43">
        <v>6</v>
      </c>
      <c r="B11" s="39" t="s">
        <v>57</v>
      </c>
      <c r="C11" s="40">
        <f t="shared" ca="1" si="0"/>
        <v>25</v>
      </c>
      <c r="D11" s="35" t="s">
        <v>152</v>
      </c>
      <c r="E11" s="35">
        <f t="shared" ca="1" si="1"/>
        <v>20</v>
      </c>
      <c r="F11" s="35" t="s">
        <v>154</v>
      </c>
      <c r="G11" s="41">
        <f t="shared" ca="1" si="2"/>
        <v>4994613045878</v>
      </c>
      <c r="H11" s="42">
        <f t="shared" ca="1" si="3"/>
        <v>38613</v>
      </c>
      <c r="I11" s="35" t="s">
        <v>170</v>
      </c>
    </row>
    <row r="12" spans="1:9">
      <c r="A12" s="43">
        <v>7</v>
      </c>
      <c r="B12" s="39" t="s">
        <v>58</v>
      </c>
      <c r="C12" s="40">
        <f t="shared" ca="1" si="0"/>
        <v>27</v>
      </c>
      <c r="D12" s="35" t="s">
        <v>152</v>
      </c>
      <c r="E12" s="35">
        <f t="shared" ca="1" si="1"/>
        <v>30</v>
      </c>
      <c r="F12" s="35" t="s">
        <v>163</v>
      </c>
      <c r="G12" s="41">
        <f t="shared" ca="1" si="2"/>
        <v>8878596459466</v>
      </c>
      <c r="H12" s="42">
        <f t="shared" ca="1" si="3"/>
        <v>38054</v>
      </c>
      <c r="I12" s="35" t="s">
        <v>170</v>
      </c>
    </row>
    <row r="13" spans="1:9">
      <c r="A13" s="43">
        <v>8</v>
      </c>
      <c r="B13" s="39" t="s">
        <v>59</v>
      </c>
      <c r="C13" s="40">
        <f t="shared" ca="1" si="0"/>
        <v>26</v>
      </c>
      <c r="D13" s="35" t="s">
        <v>153</v>
      </c>
      <c r="E13" s="35">
        <f t="shared" ca="1" si="1"/>
        <v>33</v>
      </c>
      <c r="F13" s="35" t="s">
        <v>156</v>
      </c>
      <c r="G13" s="41">
        <f t="shared" ca="1" si="2"/>
        <v>2268531380104</v>
      </c>
      <c r="H13" s="42">
        <f t="shared" ca="1" si="3"/>
        <v>42636</v>
      </c>
      <c r="I13" s="35" t="s">
        <v>170</v>
      </c>
    </row>
    <row r="14" spans="1:9">
      <c r="A14" s="43">
        <v>9</v>
      </c>
      <c r="B14" s="39" t="s">
        <v>60</v>
      </c>
      <c r="C14" s="40">
        <f t="shared" ca="1" si="0"/>
        <v>29</v>
      </c>
      <c r="D14" s="35" t="s">
        <v>152</v>
      </c>
      <c r="E14" s="35">
        <f t="shared" ca="1" si="1"/>
        <v>34</v>
      </c>
      <c r="F14" s="35" t="s">
        <v>167</v>
      </c>
      <c r="G14" s="41">
        <f t="shared" ca="1" si="2"/>
        <v>8924390709772</v>
      </c>
      <c r="H14" s="42">
        <f t="shared" ca="1" si="3"/>
        <v>43234</v>
      </c>
      <c r="I14" s="35" t="s">
        <v>170</v>
      </c>
    </row>
    <row r="15" spans="1:9">
      <c r="A15" s="43">
        <v>11</v>
      </c>
      <c r="B15" s="39" t="s">
        <v>62</v>
      </c>
      <c r="C15" s="40">
        <f t="shared" ca="1" si="0"/>
        <v>27</v>
      </c>
      <c r="D15" s="35" t="s">
        <v>152</v>
      </c>
      <c r="E15" s="35">
        <f t="shared" ca="1" si="1"/>
        <v>29</v>
      </c>
      <c r="F15" s="35" t="s">
        <v>167</v>
      </c>
      <c r="G15" s="41">
        <f t="shared" ca="1" si="2"/>
        <v>4586192012643</v>
      </c>
      <c r="H15" s="42">
        <f t="shared" ca="1" si="3"/>
        <v>40404</v>
      </c>
      <c r="I15" s="35" t="s">
        <v>170</v>
      </c>
    </row>
    <row r="16" spans="1:9">
      <c r="A16" s="43">
        <v>12</v>
      </c>
      <c r="B16" s="39" t="s">
        <v>63</v>
      </c>
      <c r="C16" s="40">
        <f t="shared" ca="1" si="0"/>
        <v>29</v>
      </c>
      <c r="D16" s="35" t="s">
        <v>153</v>
      </c>
      <c r="E16" s="35">
        <f t="shared" ca="1" si="1"/>
        <v>31</v>
      </c>
      <c r="F16" s="35" t="s">
        <v>154</v>
      </c>
      <c r="G16" s="41">
        <f t="shared" ca="1" si="2"/>
        <v>8957907329098</v>
      </c>
      <c r="H16" s="42">
        <f t="shared" ca="1" si="3"/>
        <v>38744</v>
      </c>
      <c r="I16" s="35" t="s">
        <v>170</v>
      </c>
    </row>
    <row r="17" spans="1:9">
      <c r="A17" s="43">
        <v>13</v>
      </c>
      <c r="B17" s="39" t="s">
        <v>64</v>
      </c>
      <c r="C17" s="40">
        <f t="shared" ca="1" si="0"/>
        <v>26</v>
      </c>
      <c r="D17" s="35" t="s">
        <v>153</v>
      </c>
      <c r="E17" s="35">
        <f t="shared" ca="1" si="1"/>
        <v>23</v>
      </c>
      <c r="F17" s="35" t="s">
        <v>159</v>
      </c>
      <c r="G17" s="41">
        <f t="shared" ca="1" si="2"/>
        <v>8696517560017</v>
      </c>
      <c r="H17" s="42">
        <f t="shared" ca="1" si="3"/>
        <v>39010</v>
      </c>
      <c r="I17" s="35" t="s">
        <v>170</v>
      </c>
    </row>
    <row r="18" spans="1:9">
      <c r="A18" s="43">
        <v>14</v>
      </c>
      <c r="B18" s="39" t="s">
        <v>65</v>
      </c>
      <c r="C18" s="40">
        <f t="shared" ca="1" si="0"/>
        <v>27</v>
      </c>
      <c r="D18" s="35" t="s">
        <v>153</v>
      </c>
      <c r="E18" s="35">
        <f t="shared" ca="1" si="1"/>
        <v>38</v>
      </c>
      <c r="F18" s="35" t="s">
        <v>156</v>
      </c>
      <c r="G18" s="41">
        <f t="shared" ca="1" si="2"/>
        <v>7682850821370</v>
      </c>
      <c r="H18" s="42">
        <f t="shared" ca="1" si="3"/>
        <v>36991</v>
      </c>
      <c r="I18" s="35" t="s">
        <v>170</v>
      </c>
    </row>
    <row r="19" spans="1:9">
      <c r="A19" s="43">
        <v>15</v>
      </c>
      <c r="B19" s="39" t="s">
        <v>66</v>
      </c>
      <c r="C19" s="40">
        <f t="shared" ca="1" si="0"/>
        <v>30</v>
      </c>
      <c r="D19" s="35" t="s">
        <v>152</v>
      </c>
      <c r="E19" s="35">
        <f t="shared" ca="1" si="1"/>
        <v>39</v>
      </c>
      <c r="F19" s="35" t="s">
        <v>156</v>
      </c>
      <c r="G19" s="41">
        <f t="shared" ca="1" si="2"/>
        <v>2597939421054</v>
      </c>
      <c r="H19" s="42">
        <f t="shared" ca="1" si="3"/>
        <v>43191</v>
      </c>
      <c r="I19" s="35" t="s">
        <v>170</v>
      </c>
    </row>
    <row r="20" spans="1:9">
      <c r="A20" s="43">
        <v>16</v>
      </c>
      <c r="B20" s="39" t="s">
        <v>67</v>
      </c>
      <c r="C20" s="40">
        <f t="shared" ca="1" si="0"/>
        <v>28</v>
      </c>
      <c r="D20" s="35" t="s">
        <v>152</v>
      </c>
      <c r="E20" s="35">
        <f t="shared" ca="1" si="1"/>
        <v>26</v>
      </c>
      <c r="F20" s="35" t="s">
        <v>156</v>
      </c>
      <c r="G20" s="41">
        <f t="shared" ca="1" si="2"/>
        <v>6814401478351</v>
      </c>
      <c r="H20" s="42">
        <f t="shared" ca="1" si="3"/>
        <v>41400</v>
      </c>
      <c r="I20" s="35" t="s">
        <v>170</v>
      </c>
    </row>
    <row r="21" spans="1:9">
      <c r="A21" s="43">
        <v>17</v>
      </c>
      <c r="B21" s="39" t="s">
        <v>68</v>
      </c>
      <c r="C21" s="40">
        <f t="shared" ca="1" si="0"/>
        <v>25</v>
      </c>
      <c r="D21" s="35" t="s">
        <v>152</v>
      </c>
      <c r="E21" s="35">
        <f t="shared" ca="1" si="1"/>
        <v>27</v>
      </c>
      <c r="F21" s="35" t="s">
        <v>158</v>
      </c>
      <c r="G21" s="41">
        <f t="shared" ca="1" si="2"/>
        <v>2122204502112</v>
      </c>
      <c r="H21" s="42">
        <f t="shared" ca="1" si="3"/>
        <v>41558</v>
      </c>
      <c r="I21" s="35" t="s">
        <v>170</v>
      </c>
    </row>
    <row r="22" spans="1:9">
      <c r="A22" s="43">
        <v>18</v>
      </c>
      <c r="B22" s="39" t="s">
        <v>69</v>
      </c>
      <c r="C22" s="40">
        <f t="shared" ca="1" si="0"/>
        <v>30</v>
      </c>
      <c r="D22" s="35" t="s">
        <v>153</v>
      </c>
      <c r="E22" s="35">
        <f t="shared" ca="1" si="1"/>
        <v>26</v>
      </c>
      <c r="F22" s="35" t="s">
        <v>159</v>
      </c>
      <c r="G22" s="41">
        <f t="shared" ca="1" si="2"/>
        <v>3278906129283</v>
      </c>
      <c r="H22" s="42">
        <f t="shared" ca="1" si="3"/>
        <v>37901</v>
      </c>
      <c r="I22" s="35" t="s">
        <v>170</v>
      </c>
    </row>
    <row r="23" spans="1:9">
      <c r="A23" s="43">
        <v>19</v>
      </c>
      <c r="B23" s="39" t="s">
        <v>70</v>
      </c>
      <c r="C23" s="40">
        <f t="shared" ca="1" si="0"/>
        <v>29</v>
      </c>
      <c r="D23" s="35" t="s">
        <v>153</v>
      </c>
      <c r="E23" s="35">
        <f t="shared" ca="1" si="1"/>
        <v>30</v>
      </c>
      <c r="F23" s="35" t="s">
        <v>155</v>
      </c>
      <c r="G23" s="41">
        <f t="shared" ca="1" si="2"/>
        <v>2704914305254</v>
      </c>
      <c r="H23" s="42">
        <f t="shared" ca="1" si="3"/>
        <v>40280</v>
      </c>
      <c r="I23" s="35" t="s">
        <v>170</v>
      </c>
    </row>
    <row r="24" spans="1:9">
      <c r="A24" s="43">
        <v>20</v>
      </c>
      <c r="B24" s="39" t="s">
        <v>71</v>
      </c>
      <c r="C24" s="40">
        <f t="shared" ca="1" si="0"/>
        <v>26</v>
      </c>
      <c r="D24" s="35" t="s">
        <v>153</v>
      </c>
      <c r="E24" s="35">
        <f t="shared" ca="1" si="1"/>
        <v>37</v>
      </c>
      <c r="F24" s="35" t="s">
        <v>167</v>
      </c>
      <c r="G24" s="41">
        <f t="shared" ca="1" si="2"/>
        <v>6448154282496</v>
      </c>
      <c r="H24" s="42">
        <f t="shared" ca="1" si="3"/>
        <v>39254</v>
      </c>
      <c r="I24" s="35" t="s">
        <v>170</v>
      </c>
    </row>
    <row r="25" spans="1:9">
      <c r="A25" s="43">
        <v>21</v>
      </c>
      <c r="B25" s="39" t="s">
        <v>72</v>
      </c>
      <c r="C25" s="40">
        <f t="shared" ca="1" si="0"/>
        <v>26</v>
      </c>
      <c r="D25" s="35" t="s">
        <v>153</v>
      </c>
      <c r="E25" s="35">
        <f t="shared" ca="1" si="1"/>
        <v>39</v>
      </c>
      <c r="F25" s="35" t="s">
        <v>159</v>
      </c>
      <c r="G25" s="41">
        <f t="shared" ca="1" si="2"/>
        <v>2647826965489</v>
      </c>
      <c r="H25" s="42">
        <f t="shared" ca="1" si="3"/>
        <v>40147</v>
      </c>
      <c r="I25" s="35" t="s">
        <v>170</v>
      </c>
    </row>
    <row r="26" spans="1:9">
      <c r="A26" s="43">
        <v>22</v>
      </c>
      <c r="B26" s="39" t="s">
        <v>73</v>
      </c>
      <c r="C26" s="40">
        <f t="shared" ca="1" si="0"/>
        <v>30</v>
      </c>
      <c r="D26" s="35" t="s">
        <v>152</v>
      </c>
      <c r="E26" s="35">
        <f t="shared" ca="1" si="1"/>
        <v>21</v>
      </c>
      <c r="F26" s="35" t="s">
        <v>156</v>
      </c>
      <c r="G26" s="41">
        <f t="shared" ca="1" si="2"/>
        <v>7863955928110</v>
      </c>
      <c r="H26" s="42">
        <f t="shared" ca="1" si="3"/>
        <v>42626</v>
      </c>
      <c r="I26" s="35" t="s">
        <v>170</v>
      </c>
    </row>
    <row r="27" spans="1:9">
      <c r="A27" s="43">
        <v>23</v>
      </c>
      <c r="B27" s="39" t="s">
        <v>74</v>
      </c>
      <c r="C27" s="40">
        <f t="shared" ca="1" si="0"/>
        <v>27</v>
      </c>
      <c r="D27" s="35" t="s">
        <v>152</v>
      </c>
      <c r="E27" s="35">
        <f t="shared" ca="1" si="1"/>
        <v>40</v>
      </c>
      <c r="F27" s="35" t="s">
        <v>169</v>
      </c>
      <c r="G27" s="41">
        <f t="shared" ca="1" si="2"/>
        <v>5810854026252</v>
      </c>
      <c r="H27" s="42">
        <f t="shared" ca="1" si="3"/>
        <v>37091</v>
      </c>
      <c r="I27" s="35" t="s">
        <v>170</v>
      </c>
    </row>
    <row r="28" spans="1:9">
      <c r="A28" s="43">
        <v>24</v>
      </c>
      <c r="B28" s="39" t="s">
        <v>75</v>
      </c>
      <c r="C28" s="40">
        <f t="shared" ca="1" si="0"/>
        <v>28</v>
      </c>
      <c r="D28" s="35" t="s">
        <v>153</v>
      </c>
      <c r="E28" s="35">
        <f t="shared" ca="1" si="1"/>
        <v>30</v>
      </c>
      <c r="F28" s="35" t="s">
        <v>156</v>
      </c>
      <c r="G28" s="41">
        <f t="shared" ca="1" si="2"/>
        <v>5242256293216</v>
      </c>
      <c r="H28" s="42">
        <f t="shared" ca="1" si="3"/>
        <v>37518</v>
      </c>
      <c r="I28" s="35" t="s">
        <v>170</v>
      </c>
    </row>
    <row r="29" spans="1:9">
      <c r="A29" s="43">
        <v>25</v>
      </c>
      <c r="B29" s="39" t="s">
        <v>76</v>
      </c>
      <c r="C29" s="40">
        <f t="shared" ca="1" si="0"/>
        <v>27</v>
      </c>
      <c r="D29" s="35" t="s">
        <v>152</v>
      </c>
      <c r="E29" s="35">
        <f t="shared" ca="1" si="1"/>
        <v>30</v>
      </c>
      <c r="F29" s="35" t="s">
        <v>160</v>
      </c>
      <c r="G29" s="41">
        <f t="shared" ca="1" si="2"/>
        <v>8774652618870</v>
      </c>
      <c r="H29" s="42">
        <f t="shared" ca="1" si="3"/>
        <v>38203</v>
      </c>
      <c r="I29" s="35" t="s">
        <v>170</v>
      </c>
    </row>
    <row r="30" spans="1:9">
      <c r="A30" s="43">
        <v>26</v>
      </c>
      <c r="B30" s="39" t="s">
        <v>77</v>
      </c>
      <c r="C30" s="40">
        <f t="shared" ca="1" si="0"/>
        <v>25</v>
      </c>
      <c r="D30" s="35" t="s">
        <v>153</v>
      </c>
      <c r="E30" s="35">
        <f t="shared" ca="1" si="1"/>
        <v>29</v>
      </c>
      <c r="F30" s="35" t="s">
        <v>156</v>
      </c>
      <c r="G30" s="41">
        <f t="shared" ca="1" si="2"/>
        <v>2435227210254</v>
      </c>
      <c r="H30" s="42">
        <f t="shared" ca="1" si="3"/>
        <v>39816</v>
      </c>
      <c r="I30" s="35" t="s">
        <v>170</v>
      </c>
    </row>
    <row r="31" spans="1:9">
      <c r="A31" s="43">
        <v>27</v>
      </c>
      <c r="B31" s="39" t="s">
        <v>78</v>
      </c>
      <c r="C31" s="40">
        <f t="shared" ca="1" si="0"/>
        <v>27</v>
      </c>
      <c r="D31" s="35" t="s">
        <v>153</v>
      </c>
      <c r="E31" s="35">
        <f t="shared" ca="1" si="1"/>
        <v>39</v>
      </c>
      <c r="F31" s="35" t="s">
        <v>163</v>
      </c>
      <c r="G31" s="41">
        <f t="shared" ca="1" si="2"/>
        <v>6125290022623</v>
      </c>
      <c r="H31" s="42">
        <f t="shared" ca="1" si="3"/>
        <v>41777</v>
      </c>
      <c r="I31" s="35" t="s">
        <v>170</v>
      </c>
    </row>
    <row r="32" spans="1:9">
      <c r="A32" s="43">
        <v>28</v>
      </c>
      <c r="B32" s="39" t="s">
        <v>79</v>
      </c>
      <c r="C32" s="40">
        <f t="shared" ca="1" si="0"/>
        <v>28</v>
      </c>
      <c r="D32" s="35" t="s">
        <v>152</v>
      </c>
      <c r="E32" s="35">
        <f t="shared" ca="1" si="1"/>
        <v>41</v>
      </c>
      <c r="F32" s="35" t="s">
        <v>169</v>
      </c>
      <c r="G32" s="41">
        <f t="shared" ca="1" si="2"/>
        <v>3738058199397</v>
      </c>
      <c r="H32" s="42">
        <f t="shared" ca="1" si="3"/>
        <v>38977</v>
      </c>
      <c r="I32" s="35" t="s">
        <v>170</v>
      </c>
    </row>
    <row r="33" spans="1:9">
      <c r="A33" s="43">
        <v>29</v>
      </c>
      <c r="B33" s="39" t="s">
        <v>80</v>
      </c>
      <c r="C33" s="40">
        <f t="shared" ca="1" si="0"/>
        <v>26</v>
      </c>
      <c r="D33" s="35" t="s">
        <v>152</v>
      </c>
      <c r="E33" s="35">
        <f t="shared" ca="1" si="1"/>
        <v>34</v>
      </c>
      <c r="F33" s="35" t="s">
        <v>154</v>
      </c>
      <c r="G33" s="41">
        <f t="shared" ca="1" si="2"/>
        <v>4259781940746</v>
      </c>
      <c r="H33" s="42">
        <f t="shared" ca="1" si="3"/>
        <v>42630</v>
      </c>
      <c r="I33" s="35" t="s">
        <v>170</v>
      </c>
    </row>
    <row r="34" spans="1:9">
      <c r="A34" s="43">
        <v>30</v>
      </c>
      <c r="B34" s="39" t="s">
        <v>81</v>
      </c>
      <c r="C34" s="40">
        <f t="shared" ca="1" si="0"/>
        <v>29</v>
      </c>
      <c r="D34" s="35" t="s">
        <v>153</v>
      </c>
      <c r="E34" s="35">
        <f t="shared" ca="1" si="1"/>
        <v>41</v>
      </c>
      <c r="F34" s="35" t="s">
        <v>169</v>
      </c>
      <c r="G34" s="41">
        <f t="shared" ca="1" si="2"/>
        <v>4830498271371</v>
      </c>
      <c r="H34" s="42">
        <f t="shared" ca="1" si="3"/>
        <v>41963</v>
      </c>
      <c r="I34" s="35" t="s">
        <v>170</v>
      </c>
    </row>
    <row r="35" spans="1:9">
      <c r="A35" s="43">
        <v>31</v>
      </c>
      <c r="B35" s="39" t="s">
        <v>82</v>
      </c>
      <c r="C35" s="40">
        <f t="shared" ca="1" si="0"/>
        <v>28</v>
      </c>
      <c r="D35" s="35" t="s">
        <v>152</v>
      </c>
      <c r="E35" s="35">
        <f t="shared" ca="1" si="1"/>
        <v>31</v>
      </c>
      <c r="F35" s="35" t="s">
        <v>156</v>
      </c>
      <c r="G35" s="41">
        <f t="shared" ca="1" si="2"/>
        <v>2512709574163</v>
      </c>
      <c r="H35" s="42">
        <f t="shared" ca="1" si="3"/>
        <v>42380</v>
      </c>
      <c r="I35" s="35" t="s">
        <v>170</v>
      </c>
    </row>
    <row r="36" spans="1:9">
      <c r="A36" s="43">
        <v>32</v>
      </c>
      <c r="B36" s="39" t="s">
        <v>83</v>
      </c>
      <c r="C36" s="40">
        <f t="shared" ca="1" si="0"/>
        <v>30</v>
      </c>
      <c r="D36" s="35" t="s">
        <v>153</v>
      </c>
      <c r="E36" s="35">
        <f t="shared" ca="1" si="1"/>
        <v>40</v>
      </c>
      <c r="F36" s="35" t="s">
        <v>169</v>
      </c>
      <c r="G36" s="41">
        <f t="shared" ca="1" si="2"/>
        <v>2055378631291</v>
      </c>
      <c r="H36" s="42">
        <f t="shared" ca="1" si="3"/>
        <v>38909</v>
      </c>
      <c r="I36" s="35" t="s">
        <v>170</v>
      </c>
    </row>
    <row r="37" spans="1:9">
      <c r="A37" s="43">
        <v>33</v>
      </c>
      <c r="B37" s="39" t="s">
        <v>84</v>
      </c>
      <c r="C37" s="40">
        <f t="shared" ref="C37:C68" ca="1" si="4">RANDBETWEEN(25,30)</f>
        <v>26</v>
      </c>
      <c r="D37" s="35" t="s">
        <v>152</v>
      </c>
      <c r="E37" s="35">
        <f t="shared" ref="E37:E68" ca="1" si="5">RANDBETWEEN(18,41)</f>
        <v>21</v>
      </c>
      <c r="F37" s="35" t="s">
        <v>169</v>
      </c>
      <c r="G37" s="41">
        <f t="shared" ref="G37:G68" ca="1" si="6">RANDBETWEEN(2000000000101,9000000009999)</f>
        <v>3195309609896</v>
      </c>
      <c r="H37" s="42">
        <f t="shared" ref="H37:H68" ca="1" si="7">RANDBETWEEN(DATE(2001,1,1),DATE(2018,7,15))</f>
        <v>40950</v>
      </c>
      <c r="I37" s="35" t="s">
        <v>170</v>
      </c>
    </row>
    <row r="38" spans="1:9">
      <c r="A38" s="43">
        <v>34</v>
      </c>
      <c r="B38" s="39" t="s">
        <v>85</v>
      </c>
      <c r="C38" s="40">
        <f t="shared" ca="1" si="4"/>
        <v>26</v>
      </c>
      <c r="D38" s="35" t="s">
        <v>153</v>
      </c>
      <c r="E38" s="35">
        <f t="shared" ca="1" si="5"/>
        <v>27</v>
      </c>
      <c r="F38" s="35" t="s">
        <v>169</v>
      </c>
      <c r="G38" s="41">
        <f t="shared" ca="1" si="6"/>
        <v>3816279565545</v>
      </c>
      <c r="H38" s="42">
        <f t="shared" ca="1" si="7"/>
        <v>43235</v>
      </c>
      <c r="I38" s="35" t="s">
        <v>170</v>
      </c>
    </row>
    <row r="39" spans="1:9">
      <c r="A39" s="43">
        <v>35</v>
      </c>
      <c r="B39" s="39" t="s">
        <v>86</v>
      </c>
      <c r="C39" s="40">
        <f t="shared" ca="1" si="4"/>
        <v>29</v>
      </c>
      <c r="D39" s="35" t="s">
        <v>153</v>
      </c>
      <c r="E39" s="35">
        <f t="shared" ca="1" si="5"/>
        <v>27</v>
      </c>
      <c r="F39" s="35" t="s">
        <v>156</v>
      </c>
      <c r="G39" s="41">
        <f t="shared" ca="1" si="6"/>
        <v>4935854258528</v>
      </c>
      <c r="H39" s="42">
        <f t="shared" ca="1" si="7"/>
        <v>38692</v>
      </c>
      <c r="I39" s="35" t="s">
        <v>170</v>
      </c>
    </row>
    <row r="40" spans="1:9">
      <c r="A40" s="43">
        <v>36</v>
      </c>
      <c r="B40" s="39" t="s">
        <v>87</v>
      </c>
      <c r="C40" s="40">
        <f t="shared" ca="1" si="4"/>
        <v>29</v>
      </c>
      <c r="D40" s="35" t="s">
        <v>152</v>
      </c>
      <c r="E40" s="35">
        <f t="shared" ca="1" si="5"/>
        <v>37</v>
      </c>
      <c r="F40" s="35" t="s">
        <v>155</v>
      </c>
      <c r="G40" s="41">
        <f t="shared" ca="1" si="6"/>
        <v>2285462430024</v>
      </c>
      <c r="H40" s="42">
        <f t="shared" ca="1" si="7"/>
        <v>41313</v>
      </c>
      <c r="I40" s="35" t="s">
        <v>170</v>
      </c>
    </row>
    <row r="41" spans="1:9">
      <c r="A41" s="43">
        <v>37</v>
      </c>
      <c r="B41" s="39" t="s">
        <v>88</v>
      </c>
      <c r="C41" s="40">
        <f t="shared" ca="1" si="4"/>
        <v>25</v>
      </c>
      <c r="D41" s="35" t="s">
        <v>152</v>
      </c>
      <c r="E41" s="35">
        <f t="shared" ca="1" si="5"/>
        <v>31</v>
      </c>
      <c r="F41" s="35" t="s">
        <v>169</v>
      </c>
      <c r="G41" s="41">
        <f t="shared" ca="1" si="6"/>
        <v>8601771906581</v>
      </c>
      <c r="H41" s="42">
        <f t="shared" ca="1" si="7"/>
        <v>41194</v>
      </c>
      <c r="I41" s="35" t="s">
        <v>170</v>
      </c>
    </row>
    <row r="42" spans="1:9">
      <c r="A42" s="43">
        <v>38</v>
      </c>
      <c r="B42" s="39" t="s">
        <v>89</v>
      </c>
      <c r="C42" s="40">
        <f t="shared" ca="1" si="4"/>
        <v>27</v>
      </c>
      <c r="D42" s="35" t="s">
        <v>153</v>
      </c>
      <c r="E42" s="35">
        <f t="shared" ca="1" si="5"/>
        <v>18</v>
      </c>
      <c r="F42" s="35" t="s">
        <v>158</v>
      </c>
      <c r="G42" s="41">
        <f t="shared" ca="1" si="6"/>
        <v>4029462512898</v>
      </c>
      <c r="H42" s="42">
        <f t="shared" ca="1" si="7"/>
        <v>42602</v>
      </c>
      <c r="I42" s="35" t="s">
        <v>170</v>
      </c>
    </row>
    <row r="43" spans="1:9">
      <c r="A43" s="43">
        <v>39</v>
      </c>
      <c r="B43" s="39" t="s">
        <v>90</v>
      </c>
      <c r="C43" s="40">
        <f t="shared" ca="1" si="4"/>
        <v>27</v>
      </c>
      <c r="D43" s="35" t="s">
        <v>153</v>
      </c>
      <c r="E43" s="35">
        <f t="shared" ca="1" si="5"/>
        <v>27</v>
      </c>
      <c r="F43" s="35" t="s">
        <v>159</v>
      </c>
      <c r="G43" s="41">
        <f t="shared" ca="1" si="6"/>
        <v>8686810837711</v>
      </c>
      <c r="H43" s="42">
        <f t="shared" ca="1" si="7"/>
        <v>41358</v>
      </c>
      <c r="I43" s="35" t="s">
        <v>170</v>
      </c>
    </row>
    <row r="44" spans="1:9">
      <c r="A44" s="43">
        <v>40</v>
      </c>
      <c r="B44" s="39" t="s">
        <v>91</v>
      </c>
      <c r="C44" s="40">
        <f t="shared" ca="1" si="4"/>
        <v>28</v>
      </c>
      <c r="D44" s="35" t="s">
        <v>152</v>
      </c>
      <c r="E44" s="35">
        <f t="shared" ca="1" si="5"/>
        <v>33</v>
      </c>
      <c r="F44" s="35" t="s">
        <v>156</v>
      </c>
      <c r="G44" s="41">
        <f t="shared" ca="1" si="6"/>
        <v>5268720981511</v>
      </c>
      <c r="H44" s="42">
        <f t="shared" ca="1" si="7"/>
        <v>42262</v>
      </c>
      <c r="I44" s="35" t="s">
        <v>170</v>
      </c>
    </row>
    <row r="45" spans="1:9">
      <c r="A45" s="43">
        <v>41</v>
      </c>
      <c r="B45" s="39" t="s">
        <v>92</v>
      </c>
      <c r="C45" s="40">
        <f t="shared" ca="1" si="4"/>
        <v>28</v>
      </c>
      <c r="D45" s="35" t="s">
        <v>153</v>
      </c>
      <c r="E45" s="35">
        <f t="shared" ca="1" si="5"/>
        <v>38</v>
      </c>
      <c r="F45" s="35" t="s">
        <v>169</v>
      </c>
      <c r="G45" s="41">
        <f t="shared" ca="1" si="6"/>
        <v>5906870524671</v>
      </c>
      <c r="H45" s="42">
        <f t="shared" ca="1" si="7"/>
        <v>36955</v>
      </c>
      <c r="I45" s="35" t="s">
        <v>170</v>
      </c>
    </row>
    <row r="46" spans="1:9">
      <c r="A46" s="43">
        <v>42</v>
      </c>
      <c r="B46" s="39" t="s">
        <v>93</v>
      </c>
      <c r="C46" s="40">
        <f t="shared" ca="1" si="4"/>
        <v>26</v>
      </c>
      <c r="D46" s="35" t="s">
        <v>153</v>
      </c>
      <c r="E46" s="35">
        <f t="shared" ca="1" si="5"/>
        <v>25</v>
      </c>
      <c r="F46" s="35" t="s">
        <v>156</v>
      </c>
      <c r="G46" s="41">
        <f t="shared" ca="1" si="6"/>
        <v>8036165626949</v>
      </c>
      <c r="H46" s="42">
        <f t="shared" ca="1" si="7"/>
        <v>36893</v>
      </c>
      <c r="I46" s="35" t="s">
        <v>170</v>
      </c>
    </row>
    <row r="47" spans="1:9">
      <c r="A47" s="43">
        <v>43</v>
      </c>
      <c r="B47" s="39" t="s">
        <v>94</v>
      </c>
      <c r="C47" s="40">
        <f t="shared" ca="1" si="4"/>
        <v>25</v>
      </c>
      <c r="D47" s="35" t="s">
        <v>152</v>
      </c>
      <c r="E47" s="35">
        <f t="shared" ca="1" si="5"/>
        <v>20</v>
      </c>
      <c r="F47" s="35" t="s">
        <v>169</v>
      </c>
      <c r="G47" s="41">
        <f t="shared" ca="1" si="6"/>
        <v>6454863813928</v>
      </c>
      <c r="H47" s="42">
        <f t="shared" ca="1" si="7"/>
        <v>39544</v>
      </c>
      <c r="I47" s="35" t="s">
        <v>170</v>
      </c>
    </row>
    <row r="48" spans="1:9">
      <c r="A48" s="43">
        <v>44</v>
      </c>
      <c r="B48" s="39" t="s">
        <v>95</v>
      </c>
      <c r="C48" s="40">
        <f t="shared" ca="1" si="4"/>
        <v>26</v>
      </c>
      <c r="D48" s="35" t="s">
        <v>153</v>
      </c>
      <c r="E48" s="35">
        <f t="shared" ca="1" si="5"/>
        <v>32</v>
      </c>
      <c r="F48" s="35" t="s">
        <v>159</v>
      </c>
      <c r="G48" s="41">
        <f t="shared" ca="1" si="6"/>
        <v>8362699816052</v>
      </c>
      <c r="H48" s="42">
        <f t="shared" ca="1" si="7"/>
        <v>39967</v>
      </c>
      <c r="I48" s="35" t="s">
        <v>170</v>
      </c>
    </row>
    <row r="49" spans="1:9">
      <c r="A49" s="43">
        <v>45</v>
      </c>
      <c r="B49" s="39" t="s">
        <v>96</v>
      </c>
      <c r="C49" s="40">
        <f t="shared" ca="1" si="4"/>
        <v>28</v>
      </c>
      <c r="D49" s="35" t="s">
        <v>153</v>
      </c>
      <c r="E49" s="35">
        <f t="shared" ca="1" si="5"/>
        <v>18</v>
      </c>
      <c r="F49" s="35" t="s">
        <v>156</v>
      </c>
      <c r="G49" s="41">
        <f t="shared" ca="1" si="6"/>
        <v>3144147018879</v>
      </c>
      <c r="H49" s="42">
        <f t="shared" ca="1" si="7"/>
        <v>40345</v>
      </c>
      <c r="I49" s="35" t="s">
        <v>170</v>
      </c>
    </row>
    <row r="50" spans="1:9">
      <c r="A50" s="43">
        <v>46</v>
      </c>
      <c r="B50" s="39" t="s">
        <v>97</v>
      </c>
      <c r="C50" s="40">
        <f t="shared" ca="1" si="4"/>
        <v>27</v>
      </c>
      <c r="D50" s="35" t="s">
        <v>153</v>
      </c>
      <c r="E50" s="35">
        <f t="shared" ca="1" si="5"/>
        <v>38</v>
      </c>
      <c r="F50" s="35" t="s">
        <v>169</v>
      </c>
      <c r="G50" s="41">
        <f t="shared" ca="1" si="6"/>
        <v>5117583286484</v>
      </c>
      <c r="H50" s="42">
        <f t="shared" ca="1" si="7"/>
        <v>42200</v>
      </c>
      <c r="I50" s="35" t="s">
        <v>170</v>
      </c>
    </row>
    <row r="51" spans="1:9">
      <c r="A51" s="43">
        <v>47</v>
      </c>
      <c r="B51" s="39" t="s">
        <v>98</v>
      </c>
      <c r="C51" s="40">
        <f t="shared" ca="1" si="4"/>
        <v>30</v>
      </c>
      <c r="D51" s="35" t="s">
        <v>152</v>
      </c>
      <c r="E51" s="35">
        <f t="shared" ca="1" si="5"/>
        <v>37</v>
      </c>
      <c r="F51" s="35" t="s">
        <v>169</v>
      </c>
      <c r="G51" s="41">
        <f t="shared" ca="1" si="6"/>
        <v>8936033581977</v>
      </c>
      <c r="H51" s="42">
        <f t="shared" ca="1" si="7"/>
        <v>43017</v>
      </c>
      <c r="I51" s="35" t="s">
        <v>170</v>
      </c>
    </row>
    <row r="52" spans="1:9">
      <c r="A52" s="43">
        <v>48</v>
      </c>
      <c r="B52" s="39" t="s">
        <v>99</v>
      </c>
      <c r="C52" s="40">
        <f t="shared" ca="1" si="4"/>
        <v>25</v>
      </c>
      <c r="D52" s="35" t="s">
        <v>153</v>
      </c>
      <c r="E52" s="35">
        <f t="shared" ca="1" si="5"/>
        <v>32</v>
      </c>
      <c r="F52" s="35" t="s">
        <v>155</v>
      </c>
      <c r="G52" s="41">
        <f t="shared" ca="1" si="6"/>
        <v>8852982471905</v>
      </c>
      <c r="H52" s="42">
        <f t="shared" ca="1" si="7"/>
        <v>41667</v>
      </c>
      <c r="I52" s="35" t="s">
        <v>170</v>
      </c>
    </row>
    <row r="53" spans="1:9">
      <c r="A53" s="43">
        <v>49</v>
      </c>
      <c r="B53" s="39" t="s">
        <v>100</v>
      </c>
      <c r="C53" s="40">
        <f t="shared" ca="1" si="4"/>
        <v>26</v>
      </c>
      <c r="D53" s="35" t="s">
        <v>152</v>
      </c>
      <c r="E53" s="35">
        <f t="shared" ca="1" si="5"/>
        <v>23</v>
      </c>
      <c r="F53" s="35" t="s">
        <v>169</v>
      </c>
      <c r="G53" s="41">
        <f t="shared" ca="1" si="6"/>
        <v>5980419211325</v>
      </c>
      <c r="H53" s="42">
        <f t="shared" ca="1" si="7"/>
        <v>39221</v>
      </c>
      <c r="I53" s="35" t="s">
        <v>170</v>
      </c>
    </row>
    <row r="54" spans="1:9">
      <c r="A54" s="43">
        <v>50</v>
      </c>
      <c r="B54" s="39" t="s">
        <v>101</v>
      </c>
      <c r="C54" s="40">
        <f t="shared" ca="1" si="4"/>
        <v>26</v>
      </c>
      <c r="D54" s="35" t="s">
        <v>152</v>
      </c>
      <c r="E54" s="35">
        <f t="shared" ca="1" si="5"/>
        <v>37</v>
      </c>
      <c r="F54" s="35" t="s">
        <v>167</v>
      </c>
      <c r="G54" s="41">
        <f t="shared" ca="1" si="6"/>
        <v>6882651463826</v>
      </c>
      <c r="H54" s="42">
        <f t="shared" ca="1" si="7"/>
        <v>40978</v>
      </c>
      <c r="I54" s="35" t="s">
        <v>170</v>
      </c>
    </row>
    <row r="55" spans="1:9">
      <c r="A55" s="43">
        <v>51</v>
      </c>
      <c r="B55" s="39" t="s">
        <v>102</v>
      </c>
      <c r="C55" s="40">
        <f t="shared" ca="1" si="4"/>
        <v>26</v>
      </c>
      <c r="D55" s="35" t="s">
        <v>152</v>
      </c>
      <c r="E55" s="35">
        <f t="shared" ca="1" si="5"/>
        <v>39</v>
      </c>
      <c r="F55" s="35" t="s">
        <v>156</v>
      </c>
      <c r="G55" s="41">
        <f t="shared" ca="1" si="6"/>
        <v>2267877737571</v>
      </c>
      <c r="H55" s="42">
        <f t="shared" ca="1" si="7"/>
        <v>40946</v>
      </c>
      <c r="I55" s="35" t="s">
        <v>170</v>
      </c>
    </row>
    <row r="56" spans="1:9">
      <c r="A56" s="43">
        <v>52</v>
      </c>
      <c r="B56" s="39" t="s">
        <v>103</v>
      </c>
      <c r="C56" s="40">
        <f t="shared" ca="1" si="4"/>
        <v>25</v>
      </c>
      <c r="D56" s="35" t="s">
        <v>153</v>
      </c>
      <c r="E56" s="35">
        <f t="shared" ca="1" si="5"/>
        <v>37</v>
      </c>
      <c r="F56" s="35" t="s">
        <v>156</v>
      </c>
      <c r="G56" s="41">
        <f t="shared" ca="1" si="6"/>
        <v>8856979171160</v>
      </c>
      <c r="H56" s="42">
        <f t="shared" ca="1" si="7"/>
        <v>40844</v>
      </c>
      <c r="I56" s="35" t="s">
        <v>170</v>
      </c>
    </row>
    <row r="57" spans="1:9">
      <c r="A57" s="43">
        <v>53</v>
      </c>
      <c r="B57" s="39" t="s">
        <v>104</v>
      </c>
      <c r="C57" s="40">
        <f t="shared" ca="1" si="4"/>
        <v>27</v>
      </c>
      <c r="D57" s="35" t="s">
        <v>152</v>
      </c>
      <c r="E57" s="35">
        <f t="shared" ca="1" si="5"/>
        <v>19</v>
      </c>
      <c r="F57" s="35" t="s">
        <v>169</v>
      </c>
      <c r="G57" s="41">
        <f t="shared" ca="1" si="6"/>
        <v>3552061412898</v>
      </c>
      <c r="H57" s="42">
        <f t="shared" ca="1" si="7"/>
        <v>38858</v>
      </c>
      <c r="I57" s="35" t="s">
        <v>170</v>
      </c>
    </row>
    <row r="58" spans="1:9">
      <c r="A58" s="43">
        <v>54</v>
      </c>
      <c r="B58" s="39" t="s">
        <v>105</v>
      </c>
      <c r="C58" s="40">
        <f t="shared" ca="1" si="4"/>
        <v>28</v>
      </c>
      <c r="D58" s="35" t="s">
        <v>152</v>
      </c>
      <c r="E58" s="35">
        <f t="shared" ca="1" si="5"/>
        <v>35</v>
      </c>
      <c r="F58" s="35" t="s">
        <v>166</v>
      </c>
      <c r="G58" s="41">
        <f t="shared" ca="1" si="6"/>
        <v>3353288249367</v>
      </c>
      <c r="H58" s="42">
        <f t="shared" ca="1" si="7"/>
        <v>42843</v>
      </c>
      <c r="I58" s="35" t="s">
        <v>170</v>
      </c>
    </row>
    <row r="59" spans="1:9">
      <c r="A59" s="43">
        <v>55</v>
      </c>
      <c r="B59" s="39" t="s">
        <v>106</v>
      </c>
      <c r="C59" s="40">
        <f t="shared" ca="1" si="4"/>
        <v>27</v>
      </c>
      <c r="D59" s="35" t="s">
        <v>153</v>
      </c>
      <c r="E59" s="35">
        <f t="shared" ca="1" si="5"/>
        <v>39</v>
      </c>
      <c r="F59" s="35" t="s">
        <v>159</v>
      </c>
      <c r="G59" s="41">
        <f t="shared" ca="1" si="6"/>
        <v>5320904242709</v>
      </c>
      <c r="H59" s="42">
        <f t="shared" ca="1" si="7"/>
        <v>41041</v>
      </c>
      <c r="I59" s="35" t="s">
        <v>170</v>
      </c>
    </row>
    <row r="60" spans="1:9">
      <c r="A60" s="43">
        <v>56</v>
      </c>
      <c r="B60" s="39" t="s">
        <v>107</v>
      </c>
      <c r="C60" s="40">
        <f t="shared" ca="1" si="4"/>
        <v>27</v>
      </c>
      <c r="D60" s="35" t="s">
        <v>152</v>
      </c>
      <c r="E60" s="35">
        <f t="shared" ca="1" si="5"/>
        <v>37</v>
      </c>
      <c r="F60" s="35" t="s">
        <v>165</v>
      </c>
      <c r="G60" s="41">
        <f t="shared" ca="1" si="6"/>
        <v>8545821493714</v>
      </c>
      <c r="H60" s="42">
        <f t="shared" ca="1" si="7"/>
        <v>39101</v>
      </c>
      <c r="I60" s="35" t="s">
        <v>170</v>
      </c>
    </row>
    <row r="61" spans="1:9">
      <c r="A61" s="43">
        <v>57</v>
      </c>
      <c r="B61" s="39" t="s">
        <v>108</v>
      </c>
      <c r="C61" s="40">
        <f t="shared" ca="1" si="4"/>
        <v>26</v>
      </c>
      <c r="D61" s="35" t="s">
        <v>153</v>
      </c>
      <c r="E61" s="35">
        <f t="shared" ca="1" si="5"/>
        <v>19</v>
      </c>
      <c r="F61" s="35" t="s">
        <v>163</v>
      </c>
      <c r="G61" s="41">
        <f t="shared" ca="1" si="6"/>
        <v>8552405118502</v>
      </c>
      <c r="H61" s="42">
        <f t="shared" ca="1" si="7"/>
        <v>39876</v>
      </c>
      <c r="I61" s="35" t="s">
        <v>170</v>
      </c>
    </row>
    <row r="62" spans="1:9">
      <c r="A62" s="43">
        <v>58</v>
      </c>
      <c r="B62" s="39" t="s">
        <v>109</v>
      </c>
      <c r="C62" s="40">
        <f t="shared" ca="1" si="4"/>
        <v>25</v>
      </c>
      <c r="D62" s="35" t="s">
        <v>152</v>
      </c>
      <c r="E62" s="35">
        <f t="shared" ca="1" si="5"/>
        <v>39</v>
      </c>
      <c r="F62" s="35" t="s">
        <v>154</v>
      </c>
      <c r="G62" s="41">
        <f t="shared" ca="1" si="6"/>
        <v>5937262898005</v>
      </c>
      <c r="H62" s="42">
        <f t="shared" ca="1" si="7"/>
        <v>39546</v>
      </c>
      <c r="I62" s="35" t="s">
        <v>170</v>
      </c>
    </row>
    <row r="63" spans="1:9">
      <c r="A63" s="43">
        <v>59</v>
      </c>
      <c r="B63" s="39" t="s">
        <v>110</v>
      </c>
      <c r="C63" s="40">
        <f t="shared" ca="1" si="4"/>
        <v>29</v>
      </c>
      <c r="D63" s="35" t="s">
        <v>153</v>
      </c>
      <c r="E63" s="35">
        <f t="shared" ca="1" si="5"/>
        <v>30</v>
      </c>
      <c r="F63" s="35" t="s">
        <v>161</v>
      </c>
      <c r="G63" s="41">
        <f t="shared" ca="1" si="6"/>
        <v>8147387132263</v>
      </c>
      <c r="H63" s="42">
        <f t="shared" ca="1" si="7"/>
        <v>37655</v>
      </c>
      <c r="I63" s="35" t="s">
        <v>170</v>
      </c>
    </row>
    <row r="64" spans="1:9">
      <c r="A64" s="43">
        <v>60</v>
      </c>
      <c r="B64" s="39" t="s">
        <v>111</v>
      </c>
      <c r="C64" s="40">
        <f t="shared" ca="1" si="4"/>
        <v>28</v>
      </c>
      <c r="D64" s="35" t="s">
        <v>153</v>
      </c>
      <c r="E64" s="35">
        <f t="shared" ca="1" si="5"/>
        <v>31</v>
      </c>
      <c r="F64" s="35" t="s">
        <v>156</v>
      </c>
      <c r="G64" s="41">
        <f t="shared" ca="1" si="6"/>
        <v>8314513478644</v>
      </c>
      <c r="H64" s="42">
        <f t="shared" ca="1" si="7"/>
        <v>39595</v>
      </c>
      <c r="I64" s="35" t="s">
        <v>170</v>
      </c>
    </row>
    <row r="65" spans="1:9">
      <c r="A65" s="43">
        <v>61</v>
      </c>
      <c r="B65" s="39" t="s">
        <v>112</v>
      </c>
      <c r="C65" s="40">
        <f t="shared" ca="1" si="4"/>
        <v>27</v>
      </c>
      <c r="D65" s="35" t="s">
        <v>152</v>
      </c>
      <c r="E65" s="35">
        <f t="shared" ca="1" si="5"/>
        <v>37</v>
      </c>
      <c r="F65" s="35" t="s">
        <v>160</v>
      </c>
      <c r="G65" s="41">
        <f t="shared" ca="1" si="6"/>
        <v>3809686941532</v>
      </c>
      <c r="H65" s="42">
        <f t="shared" ca="1" si="7"/>
        <v>41232</v>
      </c>
      <c r="I65" s="35" t="s">
        <v>170</v>
      </c>
    </row>
    <row r="66" spans="1:9">
      <c r="A66" s="43">
        <v>62</v>
      </c>
      <c r="B66" s="39" t="s">
        <v>113</v>
      </c>
      <c r="C66" s="40">
        <f t="shared" ca="1" si="4"/>
        <v>29</v>
      </c>
      <c r="D66" s="35" t="s">
        <v>153</v>
      </c>
      <c r="E66" s="35">
        <f t="shared" ca="1" si="5"/>
        <v>20</v>
      </c>
      <c r="F66" s="35" t="s">
        <v>164</v>
      </c>
      <c r="G66" s="41">
        <f t="shared" ca="1" si="6"/>
        <v>5159811007645</v>
      </c>
      <c r="H66" s="42">
        <f t="shared" ca="1" si="7"/>
        <v>42825</v>
      </c>
      <c r="I66" s="35" t="s">
        <v>170</v>
      </c>
    </row>
    <row r="67" spans="1:9">
      <c r="A67" s="43">
        <v>63</v>
      </c>
      <c r="B67" s="39" t="s">
        <v>114</v>
      </c>
      <c r="C67" s="40">
        <f t="shared" ca="1" si="4"/>
        <v>26</v>
      </c>
      <c r="D67" s="35" t="s">
        <v>152</v>
      </c>
      <c r="E67" s="35">
        <f t="shared" ca="1" si="5"/>
        <v>37</v>
      </c>
      <c r="F67" s="35" t="s">
        <v>156</v>
      </c>
      <c r="G67" s="41">
        <f t="shared" ca="1" si="6"/>
        <v>8792186417225</v>
      </c>
      <c r="H67" s="42">
        <f t="shared" ca="1" si="7"/>
        <v>37945</v>
      </c>
      <c r="I67" s="35" t="s">
        <v>170</v>
      </c>
    </row>
    <row r="68" spans="1:9">
      <c r="A68" s="43">
        <v>64</v>
      </c>
      <c r="B68" s="39" t="s">
        <v>115</v>
      </c>
      <c r="C68" s="40">
        <f t="shared" ca="1" si="4"/>
        <v>25</v>
      </c>
      <c r="D68" s="35" t="s">
        <v>152</v>
      </c>
      <c r="E68" s="35">
        <f t="shared" ca="1" si="5"/>
        <v>35</v>
      </c>
      <c r="F68" s="35" t="s">
        <v>169</v>
      </c>
      <c r="G68" s="41">
        <f t="shared" ca="1" si="6"/>
        <v>5961214955444</v>
      </c>
      <c r="H68" s="42">
        <f t="shared" ca="1" si="7"/>
        <v>40776</v>
      </c>
      <c r="I68" s="35" t="s">
        <v>170</v>
      </c>
    </row>
    <row r="69" spans="1:9">
      <c r="A69" s="43">
        <v>65</v>
      </c>
      <c r="B69" s="39" t="s">
        <v>116</v>
      </c>
      <c r="C69" s="40">
        <f t="shared" ref="C69:C104" ca="1" si="8">RANDBETWEEN(25,30)</f>
        <v>26</v>
      </c>
      <c r="D69" s="35" t="s">
        <v>152</v>
      </c>
      <c r="E69" s="35">
        <f t="shared" ref="E69:E104" ca="1" si="9">RANDBETWEEN(18,41)</f>
        <v>31</v>
      </c>
      <c r="F69" s="35" t="s">
        <v>169</v>
      </c>
      <c r="G69" s="41">
        <f t="shared" ref="G69:G104" ca="1" si="10">RANDBETWEEN(2000000000101,9000000009999)</f>
        <v>2448871880376</v>
      </c>
      <c r="H69" s="42">
        <f t="shared" ref="H69:H104" ca="1" si="11">RANDBETWEEN(DATE(2001,1,1),DATE(2018,7,15))</f>
        <v>40229</v>
      </c>
      <c r="I69" s="35" t="s">
        <v>170</v>
      </c>
    </row>
    <row r="70" spans="1:9">
      <c r="A70" s="43">
        <v>66</v>
      </c>
      <c r="B70" s="39" t="s">
        <v>117</v>
      </c>
      <c r="C70" s="40">
        <f t="shared" ca="1" si="8"/>
        <v>26</v>
      </c>
      <c r="D70" s="35" t="s">
        <v>153</v>
      </c>
      <c r="E70" s="35">
        <f t="shared" ca="1" si="9"/>
        <v>26</v>
      </c>
      <c r="F70" s="35" t="s">
        <v>155</v>
      </c>
      <c r="G70" s="41">
        <f t="shared" ca="1" si="10"/>
        <v>6300395904364</v>
      </c>
      <c r="H70" s="42">
        <f t="shared" ca="1" si="11"/>
        <v>38823</v>
      </c>
      <c r="I70" s="35" t="s">
        <v>170</v>
      </c>
    </row>
    <row r="71" spans="1:9">
      <c r="A71" s="43">
        <v>67</v>
      </c>
      <c r="B71" s="39" t="s">
        <v>118</v>
      </c>
      <c r="C71" s="40">
        <f t="shared" ca="1" si="8"/>
        <v>26</v>
      </c>
      <c r="D71" s="35" t="s">
        <v>152</v>
      </c>
      <c r="E71" s="35">
        <f t="shared" ca="1" si="9"/>
        <v>35</v>
      </c>
      <c r="F71" s="35" t="s">
        <v>169</v>
      </c>
      <c r="G71" s="41">
        <f t="shared" ca="1" si="10"/>
        <v>3401040214691</v>
      </c>
      <c r="H71" s="42">
        <f t="shared" ca="1" si="11"/>
        <v>42402</v>
      </c>
      <c r="I71" s="35" t="s">
        <v>170</v>
      </c>
    </row>
    <row r="72" spans="1:9">
      <c r="A72" s="43">
        <v>68</v>
      </c>
      <c r="B72" s="39" t="s">
        <v>119</v>
      </c>
      <c r="C72" s="40">
        <f t="shared" ca="1" si="8"/>
        <v>27</v>
      </c>
      <c r="D72" s="35" t="s">
        <v>152</v>
      </c>
      <c r="E72" s="35">
        <f t="shared" ca="1" si="9"/>
        <v>38</v>
      </c>
      <c r="F72" s="35" t="s">
        <v>156</v>
      </c>
      <c r="G72" s="41">
        <f t="shared" ca="1" si="10"/>
        <v>2577072920118</v>
      </c>
      <c r="H72" s="42">
        <f t="shared" ca="1" si="11"/>
        <v>37853</v>
      </c>
      <c r="I72" s="35" t="s">
        <v>170</v>
      </c>
    </row>
    <row r="73" spans="1:9">
      <c r="A73" s="43">
        <v>69</v>
      </c>
      <c r="B73" s="39" t="s">
        <v>120</v>
      </c>
      <c r="C73" s="40">
        <f t="shared" ca="1" si="8"/>
        <v>27</v>
      </c>
      <c r="D73" s="35" t="s">
        <v>153</v>
      </c>
      <c r="E73" s="35">
        <f t="shared" ca="1" si="9"/>
        <v>18</v>
      </c>
      <c r="F73" s="35" t="s">
        <v>163</v>
      </c>
      <c r="G73" s="41">
        <f t="shared" ca="1" si="10"/>
        <v>2793320333019</v>
      </c>
      <c r="H73" s="42">
        <f t="shared" ca="1" si="11"/>
        <v>37567</v>
      </c>
      <c r="I73" s="35" t="s">
        <v>170</v>
      </c>
    </row>
    <row r="74" spans="1:9">
      <c r="A74" s="43">
        <v>70</v>
      </c>
      <c r="B74" s="39" t="s">
        <v>121</v>
      </c>
      <c r="C74" s="40">
        <f t="shared" ca="1" si="8"/>
        <v>26</v>
      </c>
      <c r="D74" s="35" t="s">
        <v>152</v>
      </c>
      <c r="E74" s="35">
        <f t="shared" ca="1" si="9"/>
        <v>30</v>
      </c>
      <c r="F74" s="35" t="s">
        <v>169</v>
      </c>
      <c r="G74" s="41">
        <f t="shared" ca="1" si="10"/>
        <v>3344046576705</v>
      </c>
      <c r="H74" s="42">
        <f t="shared" ca="1" si="11"/>
        <v>36965</v>
      </c>
      <c r="I74" s="35" t="s">
        <v>170</v>
      </c>
    </row>
    <row r="75" spans="1:9">
      <c r="A75" s="43">
        <v>71</v>
      </c>
      <c r="B75" s="39" t="s">
        <v>122</v>
      </c>
      <c r="C75" s="40">
        <f t="shared" ca="1" si="8"/>
        <v>30</v>
      </c>
      <c r="D75" s="35" t="s">
        <v>152</v>
      </c>
      <c r="E75" s="35">
        <f t="shared" ca="1" si="9"/>
        <v>35</v>
      </c>
      <c r="F75" s="35" t="s">
        <v>156</v>
      </c>
      <c r="G75" s="41">
        <f t="shared" ca="1" si="10"/>
        <v>2643840386006</v>
      </c>
      <c r="H75" s="42">
        <f t="shared" ca="1" si="11"/>
        <v>37417</v>
      </c>
      <c r="I75" s="35" t="s">
        <v>170</v>
      </c>
    </row>
    <row r="76" spans="1:9">
      <c r="A76" s="43">
        <v>72</v>
      </c>
      <c r="B76" s="39" t="s">
        <v>123</v>
      </c>
      <c r="C76" s="40">
        <f t="shared" ca="1" si="8"/>
        <v>27</v>
      </c>
      <c r="D76" s="35" t="s">
        <v>153</v>
      </c>
      <c r="E76" s="35">
        <f t="shared" ca="1" si="9"/>
        <v>27</v>
      </c>
      <c r="F76" s="35" t="s">
        <v>156</v>
      </c>
      <c r="G76" s="41">
        <f t="shared" ca="1" si="10"/>
        <v>4716500713346</v>
      </c>
      <c r="H76" s="42">
        <f t="shared" ca="1" si="11"/>
        <v>41350</v>
      </c>
      <c r="I76" s="35" t="s">
        <v>170</v>
      </c>
    </row>
    <row r="77" spans="1:9">
      <c r="A77" s="43">
        <v>73</v>
      </c>
      <c r="B77" s="39" t="s">
        <v>124</v>
      </c>
      <c r="C77" s="40">
        <f t="shared" ca="1" si="8"/>
        <v>26</v>
      </c>
      <c r="D77" s="35" t="s">
        <v>152</v>
      </c>
      <c r="E77" s="35">
        <f t="shared" ca="1" si="9"/>
        <v>19</v>
      </c>
      <c r="F77" s="35" t="s">
        <v>156</v>
      </c>
      <c r="G77" s="41">
        <f t="shared" ca="1" si="10"/>
        <v>5450678922150</v>
      </c>
      <c r="H77" s="42">
        <f t="shared" ca="1" si="11"/>
        <v>37162</v>
      </c>
      <c r="I77" s="35" t="s">
        <v>170</v>
      </c>
    </row>
    <row r="78" spans="1:9">
      <c r="A78" s="43">
        <v>74</v>
      </c>
      <c r="B78" s="39" t="s">
        <v>125</v>
      </c>
      <c r="C78" s="40">
        <f t="shared" ca="1" si="8"/>
        <v>30</v>
      </c>
      <c r="D78" s="35" t="s">
        <v>152</v>
      </c>
      <c r="E78" s="35">
        <f t="shared" ca="1" si="9"/>
        <v>40</v>
      </c>
      <c r="F78" s="35" t="s">
        <v>156</v>
      </c>
      <c r="G78" s="41">
        <f t="shared" ca="1" si="10"/>
        <v>7785909189130</v>
      </c>
      <c r="H78" s="42">
        <f t="shared" ca="1" si="11"/>
        <v>41089</v>
      </c>
      <c r="I78" s="35" t="s">
        <v>170</v>
      </c>
    </row>
    <row r="79" spans="1:9">
      <c r="A79" s="43">
        <v>75</v>
      </c>
      <c r="B79" s="39" t="s">
        <v>126</v>
      </c>
      <c r="C79" s="40">
        <f t="shared" ca="1" si="8"/>
        <v>29</v>
      </c>
      <c r="D79" s="35" t="s">
        <v>152</v>
      </c>
      <c r="E79" s="35">
        <f t="shared" ca="1" si="9"/>
        <v>34</v>
      </c>
      <c r="F79" s="35" t="s">
        <v>156</v>
      </c>
      <c r="G79" s="41">
        <f t="shared" ca="1" si="10"/>
        <v>2515419379010</v>
      </c>
      <c r="H79" s="42">
        <f t="shared" ca="1" si="11"/>
        <v>38354</v>
      </c>
      <c r="I79" s="35" t="s">
        <v>170</v>
      </c>
    </row>
    <row r="80" spans="1:9">
      <c r="A80" s="43">
        <v>76</v>
      </c>
      <c r="B80" s="39" t="s">
        <v>127</v>
      </c>
      <c r="C80" s="40">
        <f t="shared" ca="1" si="8"/>
        <v>29</v>
      </c>
      <c r="D80" s="35" t="s">
        <v>153</v>
      </c>
      <c r="E80" s="35">
        <f t="shared" ca="1" si="9"/>
        <v>28</v>
      </c>
      <c r="F80" s="35" t="s">
        <v>159</v>
      </c>
      <c r="G80" s="41">
        <f t="shared" ca="1" si="10"/>
        <v>7780639359509</v>
      </c>
      <c r="H80" s="42">
        <f t="shared" ca="1" si="11"/>
        <v>40645</v>
      </c>
      <c r="I80" s="35" t="s">
        <v>170</v>
      </c>
    </row>
    <row r="81" spans="1:9">
      <c r="A81" s="43">
        <v>77</v>
      </c>
      <c r="B81" s="39" t="s">
        <v>128</v>
      </c>
      <c r="C81" s="40">
        <f t="shared" ca="1" si="8"/>
        <v>29</v>
      </c>
      <c r="D81" s="35" t="s">
        <v>152</v>
      </c>
      <c r="E81" s="35">
        <f t="shared" ca="1" si="9"/>
        <v>26</v>
      </c>
      <c r="F81" s="35" t="s">
        <v>169</v>
      </c>
      <c r="G81" s="41">
        <f t="shared" ca="1" si="10"/>
        <v>8559728850949</v>
      </c>
      <c r="H81" s="42">
        <f t="shared" ca="1" si="11"/>
        <v>38840</v>
      </c>
      <c r="I81" s="35" t="s">
        <v>170</v>
      </c>
    </row>
    <row r="82" spans="1:9">
      <c r="A82" s="43">
        <v>78</v>
      </c>
      <c r="B82" s="39" t="s">
        <v>129</v>
      </c>
      <c r="C82" s="40">
        <f t="shared" ca="1" si="8"/>
        <v>29</v>
      </c>
      <c r="D82" s="35" t="s">
        <v>152</v>
      </c>
      <c r="E82" s="35">
        <f t="shared" ca="1" si="9"/>
        <v>27</v>
      </c>
      <c r="F82" s="35" t="s">
        <v>154</v>
      </c>
      <c r="G82" s="41">
        <f t="shared" ca="1" si="10"/>
        <v>7841657459242</v>
      </c>
      <c r="H82" s="42">
        <f t="shared" ca="1" si="11"/>
        <v>39546</v>
      </c>
      <c r="I82" s="35" t="s">
        <v>170</v>
      </c>
    </row>
    <row r="83" spans="1:9">
      <c r="A83" s="43">
        <v>79</v>
      </c>
      <c r="B83" s="39" t="s">
        <v>130</v>
      </c>
      <c r="C83" s="40">
        <f t="shared" ca="1" si="8"/>
        <v>26</v>
      </c>
      <c r="D83" s="35" t="s">
        <v>153</v>
      </c>
      <c r="E83" s="35">
        <f t="shared" ca="1" si="9"/>
        <v>33</v>
      </c>
      <c r="F83" s="35" t="s">
        <v>169</v>
      </c>
      <c r="G83" s="41">
        <f t="shared" ca="1" si="10"/>
        <v>7950343260505</v>
      </c>
      <c r="H83" s="42">
        <f t="shared" ca="1" si="11"/>
        <v>42014</v>
      </c>
      <c r="I83" s="35" t="s">
        <v>170</v>
      </c>
    </row>
    <row r="84" spans="1:9">
      <c r="A84" s="43">
        <v>80</v>
      </c>
      <c r="B84" s="39" t="s">
        <v>131</v>
      </c>
      <c r="C84" s="40">
        <f t="shared" ca="1" si="8"/>
        <v>30</v>
      </c>
      <c r="D84" s="35" t="s">
        <v>152</v>
      </c>
      <c r="E84" s="35">
        <f t="shared" ca="1" si="9"/>
        <v>35</v>
      </c>
      <c r="F84" s="35" t="s">
        <v>156</v>
      </c>
      <c r="G84" s="41">
        <f t="shared" ca="1" si="10"/>
        <v>3251943339953</v>
      </c>
      <c r="H84" s="42">
        <f t="shared" ca="1" si="11"/>
        <v>40805</v>
      </c>
      <c r="I84" s="35" t="s">
        <v>170</v>
      </c>
    </row>
    <row r="85" spans="1:9">
      <c r="A85" s="43">
        <v>81</v>
      </c>
      <c r="B85" s="39" t="s">
        <v>132</v>
      </c>
      <c r="C85" s="40">
        <f t="shared" ca="1" si="8"/>
        <v>29</v>
      </c>
      <c r="D85" s="35" t="s">
        <v>153</v>
      </c>
      <c r="E85" s="35">
        <f t="shared" ca="1" si="9"/>
        <v>39</v>
      </c>
      <c r="F85" s="35" t="s">
        <v>156</v>
      </c>
      <c r="G85" s="41">
        <f t="shared" ca="1" si="10"/>
        <v>2771230093186</v>
      </c>
      <c r="H85" s="42">
        <f t="shared" ca="1" si="11"/>
        <v>43131</v>
      </c>
      <c r="I85" s="35" t="s">
        <v>170</v>
      </c>
    </row>
    <row r="86" spans="1:9">
      <c r="A86" s="43">
        <v>82</v>
      </c>
      <c r="B86" s="39" t="s">
        <v>133</v>
      </c>
      <c r="C86" s="40">
        <f t="shared" ca="1" si="8"/>
        <v>29</v>
      </c>
      <c r="D86" s="35" t="s">
        <v>153</v>
      </c>
      <c r="E86" s="35">
        <f t="shared" ca="1" si="9"/>
        <v>23</v>
      </c>
      <c r="F86" s="35" t="s">
        <v>155</v>
      </c>
      <c r="G86" s="41">
        <f t="shared" ca="1" si="10"/>
        <v>4927026871960</v>
      </c>
      <c r="H86" s="42">
        <f t="shared" ca="1" si="11"/>
        <v>40105</v>
      </c>
      <c r="I86" s="35" t="s">
        <v>170</v>
      </c>
    </row>
    <row r="87" spans="1:9">
      <c r="A87" s="43">
        <v>83</v>
      </c>
      <c r="B87" s="39" t="s">
        <v>134</v>
      </c>
      <c r="C87" s="40">
        <f t="shared" ca="1" si="8"/>
        <v>30</v>
      </c>
      <c r="D87" s="35" t="s">
        <v>153</v>
      </c>
      <c r="E87" s="35">
        <f t="shared" ca="1" si="9"/>
        <v>39</v>
      </c>
      <c r="F87" s="35" t="s">
        <v>169</v>
      </c>
      <c r="G87" s="41">
        <f t="shared" ca="1" si="10"/>
        <v>8553302466441</v>
      </c>
      <c r="H87" s="42">
        <f t="shared" ca="1" si="11"/>
        <v>39753</v>
      </c>
      <c r="I87" s="35" t="s">
        <v>170</v>
      </c>
    </row>
    <row r="88" spans="1:9">
      <c r="A88" s="43">
        <v>84</v>
      </c>
      <c r="B88" s="39" t="s">
        <v>135</v>
      </c>
      <c r="C88" s="40">
        <f t="shared" ca="1" si="8"/>
        <v>25</v>
      </c>
      <c r="D88" s="35" t="s">
        <v>153</v>
      </c>
      <c r="E88" s="35">
        <f t="shared" ca="1" si="9"/>
        <v>39</v>
      </c>
      <c r="F88" s="35" t="s">
        <v>156</v>
      </c>
      <c r="G88" s="41">
        <f t="shared" ca="1" si="10"/>
        <v>7804129207188</v>
      </c>
      <c r="H88" s="42">
        <f t="shared" ca="1" si="11"/>
        <v>42885</v>
      </c>
      <c r="I88" s="35" t="s">
        <v>170</v>
      </c>
    </row>
    <row r="89" spans="1:9">
      <c r="A89" s="43">
        <v>85</v>
      </c>
      <c r="B89" s="39" t="s">
        <v>136</v>
      </c>
      <c r="C89" s="40">
        <f t="shared" ca="1" si="8"/>
        <v>26</v>
      </c>
      <c r="D89" s="35" t="s">
        <v>153</v>
      </c>
      <c r="E89" s="35">
        <f t="shared" ca="1" si="9"/>
        <v>24</v>
      </c>
      <c r="F89" s="35" t="s">
        <v>155</v>
      </c>
      <c r="G89" s="41">
        <f t="shared" ca="1" si="10"/>
        <v>3407795057798</v>
      </c>
      <c r="H89" s="42">
        <f t="shared" ca="1" si="11"/>
        <v>37530</v>
      </c>
      <c r="I89" s="35" t="s">
        <v>170</v>
      </c>
    </row>
    <row r="90" spans="1:9">
      <c r="A90" s="43">
        <v>86</v>
      </c>
      <c r="B90" s="39" t="s">
        <v>137</v>
      </c>
      <c r="C90" s="40">
        <f t="shared" ca="1" si="8"/>
        <v>28</v>
      </c>
      <c r="D90" s="35" t="s">
        <v>153</v>
      </c>
      <c r="E90" s="35">
        <f t="shared" ca="1" si="9"/>
        <v>22</v>
      </c>
      <c r="F90" s="35" t="s">
        <v>168</v>
      </c>
      <c r="G90" s="41">
        <f t="shared" ca="1" si="10"/>
        <v>7949159063493</v>
      </c>
      <c r="H90" s="42">
        <f t="shared" ca="1" si="11"/>
        <v>42625</v>
      </c>
      <c r="I90" s="35" t="s">
        <v>170</v>
      </c>
    </row>
    <row r="91" spans="1:9">
      <c r="A91" s="43">
        <v>87</v>
      </c>
      <c r="B91" s="39" t="s">
        <v>138</v>
      </c>
      <c r="C91" s="40">
        <f t="shared" ca="1" si="8"/>
        <v>29</v>
      </c>
      <c r="D91" s="35" t="s">
        <v>152</v>
      </c>
      <c r="E91" s="35">
        <f t="shared" ca="1" si="9"/>
        <v>38</v>
      </c>
      <c r="F91" s="35" t="s">
        <v>169</v>
      </c>
      <c r="G91" s="41">
        <f t="shared" ca="1" si="10"/>
        <v>6740585536622</v>
      </c>
      <c r="H91" s="42">
        <f t="shared" ca="1" si="11"/>
        <v>42395</v>
      </c>
      <c r="I91" s="35" t="s">
        <v>170</v>
      </c>
    </row>
    <row r="92" spans="1:9">
      <c r="A92" s="43">
        <v>88</v>
      </c>
      <c r="B92" s="39" t="s">
        <v>139</v>
      </c>
      <c r="C92" s="40">
        <f t="shared" ca="1" si="8"/>
        <v>29</v>
      </c>
      <c r="D92" s="35" t="s">
        <v>153</v>
      </c>
      <c r="E92" s="35">
        <f t="shared" ca="1" si="9"/>
        <v>18</v>
      </c>
      <c r="F92" s="35" t="s">
        <v>169</v>
      </c>
      <c r="G92" s="41">
        <f t="shared" ca="1" si="10"/>
        <v>3470279809944</v>
      </c>
      <c r="H92" s="42">
        <f t="shared" ca="1" si="11"/>
        <v>38490</v>
      </c>
      <c r="I92" s="35" t="s">
        <v>170</v>
      </c>
    </row>
    <row r="93" spans="1:9">
      <c r="A93" s="43">
        <v>89</v>
      </c>
      <c r="B93" s="39" t="s">
        <v>140</v>
      </c>
      <c r="C93" s="40">
        <f t="shared" ca="1" si="8"/>
        <v>25</v>
      </c>
      <c r="D93" s="35" t="s">
        <v>152</v>
      </c>
      <c r="E93" s="35">
        <f t="shared" ca="1" si="9"/>
        <v>25</v>
      </c>
      <c r="F93" s="35" t="s">
        <v>169</v>
      </c>
      <c r="G93" s="41">
        <f t="shared" ca="1" si="10"/>
        <v>5355844416270</v>
      </c>
      <c r="H93" s="42">
        <f t="shared" ca="1" si="11"/>
        <v>37064</v>
      </c>
      <c r="I93" s="35" t="s">
        <v>170</v>
      </c>
    </row>
    <row r="94" spans="1:9">
      <c r="A94" s="43">
        <v>90</v>
      </c>
      <c r="B94" s="39" t="s">
        <v>141</v>
      </c>
      <c r="C94" s="40">
        <f t="shared" ca="1" si="8"/>
        <v>26</v>
      </c>
      <c r="D94" s="35" t="s">
        <v>153</v>
      </c>
      <c r="E94" s="35">
        <f t="shared" ca="1" si="9"/>
        <v>36</v>
      </c>
      <c r="F94" s="35" t="s">
        <v>156</v>
      </c>
      <c r="G94" s="41">
        <f t="shared" ca="1" si="10"/>
        <v>4747321188130</v>
      </c>
      <c r="H94" s="42">
        <f t="shared" ca="1" si="11"/>
        <v>40859</v>
      </c>
      <c r="I94" s="35" t="s">
        <v>170</v>
      </c>
    </row>
    <row r="95" spans="1:9">
      <c r="A95" s="43">
        <v>91</v>
      </c>
      <c r="B95" s="39" t="s">
        <v>142</v>
      </c>
      <c r="C95" s="40">
        <f t="shared" ca="1" si="8"/>
        <v>25</v>
      </c>
      <c r="D95" s="35" t="s">
        <v>152</v>
      </c>
      <c r="E95" s="35">
        <f t="shared" ca="1" si="9"/>
        <v>35</v>
      </c>
      <c r="F95" s="35" t="s">
        <v>169</v>
      </c>
      <c r="G95" s="41">
        <f t="shared" ca="1" si="10"/>
        <v>7162419354354</v>
      </c>
      <c r="H95" s="42">
        <f t="shared" ca="1" si="11"/>
        <v>38884</v>
      </c>
      <c r="I95" s="35" t="s">
        <v>170</v>
      </c>
    </row>
    <row r="96" spans="1:9">
      <c r="A96" s="43">
        <v>92</v>
      </c>
      <c r="B96" s="39" t="s">
        <v>143</v>
      </c>
      <c r="C96" s="40">
        <f t="shared" ca="1" si="8"/>
        <v>29</v>
      </c>
      <c r="D96" s="35" t="s">
        <v>152</v>
      </c>
      <c r="E96" s="35">
        <f t="shared" ca="1" si="9"/>
        <v>29</v>
      </c>
      <c r="F96" s="35" t="s">
        <v>154</v>
      </c>
      <c r="G96" s="41">
        <f t="shared" ca="1" si="10"/>
        <v>8116985620779</v>
      </c>
      <c r="H96" s="42">
        <f t="shared" ca="1" si="11"/>
        <v>37941</v>
      </c>
      <c r="I96" s="35" t="s">
        <v>170</v>
      </c>
    </row>
    <row r="97" spans="1:9">
      <c r="A97" s="43">
        <v>93</v>
      </c>
      <c r="B97" s="39" t="s">
        <v>144</v>
      </c>
      <c r="C97" s="40">
        <f t="shared" ca="1" si="8"/>
        <v>29</v>
      </c>
      <c r="D97" s="35" t="s">
        <v>152</v>
      </c>
      <c r="E97" s="35">
        <f t="shared" ca="1" si="9"/>
        <v>18</v>
      </c>
      <c r="F97" s="35" t="s">
        <v>169</v>
      </c>
      <c r="G97" s="41">
        <f t="shared" ca="1" si="10"/>
        <v>6052330953620</v>
      </c>
      <c r="H97" s="42">
        <f t="shared" ca="1" si="11"/>
        <v>43095</v>
      </c>
      <c r="I97" s="35" t="s">
        <v>170</v>
      </c>
    </row>
    <row r="98" spans="1:9">
      <c r="A98" s="43">
        <v>94</v>
      </c>
      <c r="B98" s="39" t="s">
        <v>145</v>
      </c>
      <c r="C98" s="40">
        <f t="shared" ca="1" si="8"/>
        <v>30</v>
      </c>
      <c r="D98" s="35" t="s">
        <v>152</v>
      </c>
      <c r="E98" s="35">
        <f t="shared" ca="1" si="9"/>
        <v>25</v>
      </c>
      <c r="F98" s="35" t="s">
        <v>169</v>
      </c>
      <c r="G98" s="41">
        <f t="shared" ca="1" si="10"/>
        <v>3445200028375</v>
      </c>
      <c r="H98" s="42">
        <f t="shared" ca="1" si="11"/>
        <v>38635</v>
      </c>
      <c r="I98" s="35" t="s">
        <v>170</v>
      </c>
    </row>
    <row r="99" spans="1:9">
      <c r="A99" s="43">
        <v>95</v>
      </c>
      <c r="B99" s="39" t="s">
        <v>146</v>
      </c>
      <c r="C99" s="40">
        <f t="shared" ca="1" si="8"/>
        <v>25</v>
      </c>
      <c r="D99" s="35" t="s">
        <v>152</v>
      </c>
      <c r="E99" s="35">
        <f t="shared" ca="1" si="9"/>
        <v>32</v>
      </c>
      <c r="F99" s="35" t="s">
        <v>156</v>
      </c>
      <c r="G99" s="41">
        <f t="shared" ca="1" si="10"/>
        <v>2909409011390</v>
      </c>
      <c r="H99" s="42">
        <f t="shared" ca="1" si="11"/>
        <v>37599</v>
      </c>
      <c r="I99" s="35" t="s">
        <v>170</v>
      </c>
    </row>
    <row r="100" spans="1:9">
      <c r="A100" s="43">
        <v>96</v>
      </c>
      <c r="B100" s="39" t="s">
        <v>147</v>
      </c>
      <c r="C100" s="40">
        <f t="shared" ca="1" si="8"/>
        <v>27</v>
      </c>
      <c r="D100" s="35" t="s">
        <v>152</v>
      </c>
      <c r="E100" s="35">
        <f t="shared" ca="1" si="9"/>
        <v>19</v>
      </c>
      <c r="F100" s="35" t="s">
        <v>157</v>
      </c>
      <c r="G100" s="41">
        <f t="shared" ca="1" si="10"/>
        <v>7648081204384</v>
      </c>
      <c r="H100" s="42">
        <f t="shared" ca="1" si="11"/>
        <v>40175</v>
      </c>
      <c r="I100" s="35" t="s">
        <v>170</v>
      </c>
    </row>
    <row r="101" spans="1:9">
      <c r="A101" s="43">
        <v>97</v>
      </c>
      <c r="B101" s="39" t="s">
        <v>148</v>
      </c>
      <c r="C101" s="40">
        <f t="shared" ca="1" si="8"/>
        <v>29</v>
      </c>
      <c r="D101" s="35" t="s">
        <v>153</v>
      </c>
      <c r="E101" s="35">
        <f t="shared" ca="1" si="9"/>
        <v>38</v>
      </c>
      <c r="F101" s="35" t="s">
        <v>168</v>
      </c>
      <c r="G101" s="41">
        <f t="shared" ca="1" si="10"/>
        <v>4030551138802</v>
      </c>
      <c r="H101" s="42">
        <f t="shared" ca="1" si="11"/>
        <v>41989</v>
      </c>
      <c r="I101" s="35" t="s">
        <v>170</v>
      </c>
    </row>
    <row r="102" spans="1:9">
      <c r="A102" s="43">
        <v>98</v>
      </c>
      <c r="B102" s="39" t="s">
        <v>149</v>
      </c>
      <c r="C102" s="40">
        <f t="shared" ca="1" si="8"/>
        <v>29</v>
      </c>
      <c r="D102" s="35" t="s">
        <v>153</v>
      </c>
      <c r="E102" s="35">
        <f t="shared" ca="1" si="9"/>
        <v>40</v>
      </c>
      <c r="F102" s="35" t="s">
        <v>156</v>
      </c>
      <c r="G102" s="41">
        <f t="shared" ca="1" si="10"/>
        <v>4264700962865</v>
      </c>
      <c r="H102" s="42">
        <f t="shared" ca="1" si="11"/>
        <v>40385</v>
      </c>
      <c r="I102" s="35" t="s">
        <v>170</v>
      </c>
    </row>
    <row r="103" spans="1:9">
      <c r="A103" s="43">
        <v>99</v>
      </c>
      <c r="B103" s="39" t="s">
        <v>150</v>
      </c>
      <c r="C103" s="40">
        <f t="shared" ca="1" si="8"/>
        <v>27</v>
      </c>
      <c r="D103" s="35" t="s">
        <v>152</v>
      </c>
      <c r="E103" s="35">
        <f t="shared" ca="1" si="9"/>
        <v>34</v>
      </c>
      <c r="F103" s="35" t="s">
        <v>155</v>
      </c>
      <c r="G103" s="41">
        <f t="shared" ca="1" si="10"/>
        <v>2957289978751</v>
      </c>
      <c r="H103" s="42">
        <f t="shared" ca="1" si="11"/>
        <v>40737</v>
      </c>
      <c r="I103" s="35" t="s">
        <v>170</v>
      </c>
    </row>
    <row r="104" spans="1:9">
      <c r="A104" s="43">
        <v>100</v>
      </c>
      <c r="B104" s="44" t="s">
        <v>151</v>
      </c>
      <c r="C104" s="45">
        <f t="shared" ca="1" si="8"/>
        <v>28</v>
      </c>
      <c r="D104" s="35" t="s">
        <v>152</v>
      </c>
      <c r="E104" s="35">
        <f t="shared" ca="1" si="9"/>
        <v>33</v>
      </c>
      <c r="F104" s="35" t="s">
        <v>167</v>
      </c>
      <c r="G104" s="41">
        <f t="shared" ca="1" si="10"/>
        <v>2991463290194</v>
      </c>
      <c r="H104" s="42">
        <f t="shared" ca="1" si="11"/>
        <v>41398</v>
      </c>
      <c r="I104" s="35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17"/>
  <sheetViews>
    <sheetView tabSelected="1" workbookViewId="0">
      <selection activeCell="O25" sqref="O25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0" t="s">
        <v>45</v>
      </c>
      <c r="B2" s="70"/>
      <c r="C2" s="3"/>
      <c r="D2" s="3"/>
      <c r="E2" s="3"/>
      <c r="F2" s="74" t="s">
        <v>0</v>
      </c>
      <c r="G2" s="74"/>
      <c r="H2" s="74"/>
      <c r="I2" s="74"/>
      <c r="J2" s="74"/>
      <c r="K2" s="74"/>
      <c r="L2" s="74"/>
      <c r="M2" s="74"/>
      <c r="N2" s="74"/>
      <c r="O2" s="74"/>
      <c r="P2" s="74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4" t="s">
        <v>44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3"/>
      <c r="R3" s="3"/>
      <c r="S3" s="3"/>
    </row>
    <row r="4" spans="1:19" ht="15.75">
      <c r="A4" s="3"/>
      <c r="B4" s="3"/>
      <c r="C4" s="3"/>
      <c r="D4" s="75" t="s">
        <v>2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3"/>
    </row>
    <row r="5" spans="1:19">
      <c r="A5" s="3"/>
      <c r="B5" s="3"/>
      <c r="C5" s="3"/>
      <c r="D5" s="76" t="s">
        <v>3</v>
      </c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7"/>
      <c r="B8" s="87"/>
      <c r="C8" s="87"/>
      <c r="D8" s="7"/>
      <c r="E8" s="6"/>
      <c r="F8" s="8"/>
      <c r="G8" s="7"/>
      <c r="H8" s="6"/>
      <c r="I8" s="7"/>
      <c r="J8" s="8"/>
      <c r="K8" s="86" t="s">
        <v>48</v>
      </c>
      <c r="L8" s="86"/>
      <c r="M8" s="86"/>
      <c r="N8" s="7"/>
      <c r="O8" s="8"/>
      <c r="P8" s="86"/>
      <c r="Q8" s="86"/>
      <c r="R8" s="86"/>
      <c r="S8" s="8"/>
    </row>
    <row r="9" spans="1:19">
      <c r="A9" s="82" t="s">
        <v>4</v>
      </c>
      <c r="B9" s="82"/>
      <c r="C9" s="82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7"/>
      <c r="B11" s="87"/>
      <c r="C11" s="87"/>
      <c r="D11" s="7"/>
      <c r="E11" s="8"/>
      <c r="F11" s="86"/>
      <c r="G11" s="86"/>
      <c r="H11" s="86"/>
      <c r="I11" s="7"/>
      <c r="J11" s="8"/>
      <c r="K11" s="86"/>
      <c r="L11" s="86"/>
      <c r="M11" s="86"/>
      <c r="N11" s="7"/>
      <c r="O11" s="8"/>
      <c r="P11" s="86"/>
      <c r="Q11" s="86"/>
      <c r="R11" s="86"/>
      <c r="S11" s="7"/>
    </row>
    <row r="12" spans="1:19">
      <c r="A12" s="82" t="s">
        <v>9</v>
      </c>
      <c r="B12" s="82"/>
      <c r="C12" s="82"/>
      <c r="D12" s="16"/>
      <c r="E12" s="8"/>
      <c r="F12" s="82" t="s">
        <v>10</v>
      </c>
      <c r="G12" s="82"/>
      <c r="H12" s="82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7" t="s">
        <v>13</v>
      </c>
      <c r="B14" s="20" t="s">
        <v>14</v>
      </c>
      <c r="C14" s="16" t="s">
        <v>15</v>
      </c>
      <c r="D14" s="67" t="s">
        <v>16</v>
      </c>
      <c r="E14" s="83" t="s">
        <v>17</v>
      </c>
      <c r="F14" s="84"/>
      <c r="G14" s="85" t="s">
        <v>18</v>
      </c>
      <c r="H14" s="80"/>
      <c r="I14" s="80"/>
      <c r="J14" s="80"/>
      <c r="K14" s="77" t="s">
        <v>19</v>
      </c>
      <c r="L14" s="80" t="s">
        <v>20</v>
      </c>
      <c r="M14" s="80"/>
      <c r="N14" s="81"/>
      <c r="O14" s="67" t="s">
        <v>21</v>
      </c>
      <c r="P14" s="67" t="s">
        <v>22</v>
      </c>
      <c r="Q14" s="67" t="s">
        <v>23</v>
      </c>
      <c r="R14" s="71" t="s">
        <v>24</v>
      </c>
      <c r="S14" s="71" t="s">
        <v>25</v>
      </c>
    </row>
    <row r="15" spans="1:19">
      <c r="A15" s="68"/>
      <c r="B15" s="21" t="s">
        <v>26</v>
      </c>
      <c r="C15" s="22" t="s">
        <v>27</v>
      </c>
      <c r="D15" s="68"/>
      <c r="E15" s="71" t="s">
        <v>28</v>
      </c>
      <c r="F15" s="23" t="s">
        <v>29</v>
      </c>
      <c r="G15" s="71" t="s">
        <v>30</v>
      </c>
      <c r="H15" s="24" t="s">
        <v>31</v>
      </c>
      <c r="I15" s="24" t="s">
        <v>32</v>
      </c>
      <c r="J15" s="71" t="s">
        <v>33</v>
      </c>
      <c r="K15" s="78"/>
      <c r="L15" s="71" t="s">
        <v>34</v>
      </c>
      <c r="M15" s="24" t="s">
        <v>35</v>
      </c>
      <c r="N15" s="23" t="s">
        <v>36</v>
      </c>
      <c r="O15" s="68"/>
      <c r="P15" s="68"/>
      <c r="Q15" s="68"/>
      <c r="R15" s="72"/>
      <c r="S15" s="72"/>
    </row>
    <row r="16" spans="1:19">
      <c r="A16" s="69"/>
      <c r="B16" s="25" t="s">
        <v>37</v>
      </c>
      <c r="C16" s="26" t="s">
        <v>38</v>
      </c>
      <c r="D16" s="69"/>
      <c r="E16" s="73"/>
      <c r="F16" s="27" t="s">
        <v>39</v>
      </c>
      <c r="G16" s="73"/>
      <c r="H16" s="28" t="s">
        <v>40</v>
      </c>
      <c r="I16" s="29" t="s">
        <v>41</v>
      </c>
      <c r="J16" s="73"/>
      <c r="K16" s="79"/>
      <c r="L16" s="73"/>
      <c r="M16" s="28" t="s">
        <v>42</v>
      </c>
      <c r="N16" s="30" t="s">
        <v>43</v>
      </c>
      <c r="O16" s="69"/>
      <c r="P16" s="69"/>
      <c r="Q16" s="69"/>
      <c r="R16" s="73"/>
      <c r="S16" s="73"/>
    </row>
    <row r="17" spans="1:19">
      <c r="A17" s="31">
        <f>VLOOKUP('DB Empleados'!A5,Tabla1[],1,TRUE)</f>
        <v>1</v>
      </c>
      <c r="B17" s="7"/>
      <c r="C17" s="54">
        <f ca="1">(90.16*D17)</f>
        <v>2524.48</v>
      </c>
      <c r="D17" s="16">
        <f ca="1">VLOOKUP('DB Empleados'!C5,Tabla1[],3,TRUE)</f>
        <v>28</v>
      </c>
      <c r="E17" s="7"/>
      <c r="F17" s="7"/>
      <c r="G17" s="7"/>
      <c r="H17" s="32"/>
      <c r="I17" s="32"/>
      <c r="J17" s="32"/>
      <c r="K17" s="7">
        <f ca="1">VLOOKUP(C17,A17:S116,3,TRUE)</f>
        <v>2524.48</v>
      </c>
      <c r="L17" s="7">
        <f ca="1">SUM(4.83%*K17)</f>
        <v>121.93238400000001</v>
      </c>
      <c r="M17" s="7"/>
      <c r="N17" s="7"/>
      <c r="O17" s="32"/>
      <c r="P17" s="7"/>
      <c r="Q17" s="7"/>
      <c r="R17" s="7"/>
      <c r="S17" s="7"/>
    </row>
    <row r="18" spans="1:19">
      <c r="A18" s="31">
        <f>VLOOKUP('DB Empleados'!A6,Tabla1[],1,TRUE)</f>
        <v>2</v>
      </c>
      <c r="B18" s="1"/>
      <c r="C18" s="54">
        <f t="shared" ref="C18:C81" ca="1" si="0">(90.16*D18)</f>
        <v>2344.16</v>
      </c>
      <c r="D18" s="16">
        <f ca="1">VLOOKUP('DB Empleados'!C6,Tabla1[],3,TRUE)</f>
        <v>26</v>
      </c>
      <c r="E18" s="1"/>
      <c r="F18" s="1"/>
      <c r="G18" s="1"/>
      <c r="H18" s="1"/>
      <c r="I18" s="1"/>
      <c r="J18" s="1"/>
      <c r="K18" s="7">
        <f t="shared" ref="K18:K81" ca="1" si="1">VLOOKUP(C18,A18:S117,3,TRUE)</f>
        <v>2524.48</v>
      </c>
      <c r="L18" s="1">
        <f ca="1">SUM(4.83%*K18)</f>
        <v>121.93238400000001</v>
      </c>
      <c r="M18" s="1"/>
      <c r="N18" s="1"/>
      <c r="O18" s="1"/>
      <c r="P18" s="1"/>
      <c r="Q18" s="1"/>
      <c r="R18" s="1"/>
      <c r="S18" s="1"/>
    </row>
    <row r="19" spans="1:19">
      <c r="A19" s="31">
        <f>VLOOKUP('DB Empleados'!A7,Tabla1[],1,TRUE)</f>
        <v>3</v>
      </c>
      <c r="B19" s="1"/>
      <c r="C19" s="54">
        <f t="shared" ca="1" si="0"/>
        <v>2614.64</v>
      </c>
      <c r="D19" s="16">
        <f ca="1">VLOOKUP('DB Empleados'!C7,Tabla1[],3,TRUE)</f>
        <v>29</v>
      </c>
      <c r="E19" s="1"/>
      <c r="F19" s="1"/>
      <c r="G19" s="1"/>
      <c r="H19" s="1"/>
      <c r="I19" s="1"/>
      <c r="J19" s="1"/>
      <c r="K19" s="7">
        <f t="shared" ca="1" si="1"/>
        <v>2524.48</v>
      </c>
      <c r="L19" s="55">
        <f ca="1">SUM(4.83%*K19)</f>
        <v>121.93238400000001</v>
      </c>
      <c r="M19" s="1"/>
      <c r="N19" s="1"/>
      <c r="O19" s="1"/>
      <c r="P19" s="1"/>
      <c r="Q19" s="1"/>
      <c r="R19" s="1"/>
      <c r="S19" s="1"/>
    </row>
    <row r="20" spans="1:19">
      <c r="A20" s="31">
        <f>VLOOKUP('DB Empleados'!A8,Tabla1[],1,TRUE)</f>
        <v>4</v>
      </c>
      <c r="B20" s="1"/>
      <c r="C20" s="54">
        <f t="shared" ca="1" si="0"/>
        <v>2254</v>
      </c>
      <c r="D20" s="16">
        <f ca="1">VLOOKUP('DB Empleados'!C8,Tabla1[],3,TRUE)</f>
        <v>25</v>
      </c>
      <c r="E20" s="1"/>
      <c r="F20" s="1"/>
      <c r="G20" s="1"/>
      <c r="H20" s="1"/>
      <c r="I20" s="1"/>
      <c r="J20" s="1"/>
      <c r="K20" s="7">
        <f t="shared" ca="1" si="1"/>
        <v>2524.48</v>
      </c>
      <c r="L20" s="55">
        <f t="shared" ref="L20:L83" ca="1" si="2">SUM(4.83%*K20)</f>
        <v>121.93238400000001</v>
      </c>
      <c r="M20" s="1"/>
      <c r="N20" s="1"/>
      <c r="O20" s="1"/>
      <c r="P20" s="1"/>
      <c r="Q20" s="1"/>
      <c r="R20" s="1"/>
      <c r="S20" s="1"/>
    </row>
    <row r="21" spans="1:19">
      <c r="A21" s="31">
        <f>VLOOKUP('DB Empleados'!A9,Tabla1[],1,TRUE)</f>
        <v>9</v>
      </c>
      <c r="B21" s="1"/>
      <c r="C21" s="54">
        <f t="shared" ca="1" si="0"/>
        <v>2254</v>
      </c>
      <c r="D21" s="16">
        <f ca="1">VLOOKUP('DB Empleados'!C9,Tabla1[],3,TRUE)</f>
        <v>25</v>
      </c>
      <c r="E21" s="1"/>
      <c r="F21" s="1"/>
      <c r="G21" s="1"/>
      <c r="H21" s="1"/>
      <c r="I21" s="1"/>
      <c r="J21" s="1"/>
      <c r="K21" s="7">
        <f t="shared" ca="1" si="1"/>
        <v>2524.48</v>
      </c>
      <c r="L21" s="55">
        <f t="shared" ca="1" si="2"/>
        <v>121.93238400000001</v>
      </c>
      <c r="M21" s="1"/>
      <c r="N21" s="1"/>
      <c r="O21" s="1"/>
      <c r="P21" s="1"/>
      <c r="Q21" s="1"/>
      <c r="R21" s="1"/>
      <c r="S21" s="1"/>
    </row>
    <row r="22" spans="1:19">
      <c r="A22" s="31">
        <f>VLOOKUP('DB Empleados'!A10,Tabla1[],1,TRUE)</f>
        <v>5</v>
      </c>
      <c r="C22" s="54">
        <f t="shared" ca="1" si="0"/>
        <v>2524.48</v>
      </c>
      <c r="D22" s="16">
        <f ca="1">VLOOKUP('DB Empleados'!C10,Tabla1[],3,TRUE)</f>
        <v>28</v>
      </c>
      <c r="K22" s="7">
        <f t="shared" ca="1" si="1"/>
        <v>2524.48</v>
      </c>
      <c r="L22" s="55">
        <f t="shared" ca="1" si="2"/>
        <v>121.93238400000001</v>
      </c>
    </row>
    <row r="23" spans="1:19">
      <c r="A23" s="31">
        <f>VLOOKUP('DB Empleados'!A11,Tabla1[],1,TRUE)</f>
        <v>6</v>
      </c>
      <c r="C23" s="54">
        <f t="shared" ca="1" si="0"/>
        <v>2434.3199999999997</v>
      </c>
      <c r="D23" s="16">
        <f ca="1">VLOOKUP('DB Empleados'!C11,Tabla1[],3,TRUE)</f>
        <v>27</v>
      </c>
      <c r="K23" s="7">
        <f t="shared" ca="1" si="1"/>
        <v>2524.48</v>
      </c>
      <c r="L23" s="55">
        <f t="shared" ca="1" si="2"/>
        <v>121.93238400000001</v>
      </c>
    </row>
    <row r="24" spans="1:19">
      <c r="A24" s="31">
        <f>VLOOKUP('DB Empleados'!A12,Tabla1[],1,TRUE)</f>
        <v>7</v>
      </c>
      <c r="C24" s="54">
        <f t="shared" ca="1" si="0"/>
        <v>2434.3199999999997</v>
      </c>
      <c r="D24" s="16">
        <f ca="1">VLOOKUP('DB Empleados'!C12,Tabla1[],3,TRUE)</f>
        <v>27</v>
      </c>
      <c r="K24" s="7">
        <f t="shared" ca="1" si="1"/>
        <v>2524.48</v>
      </c>
      <c r="L24" s="55">
        <f t="shared" ca="1" si="2"/>
        <v>121.93238400000001</v>
      </c>
    </row>
    <row r="25" spans="1:19">
      <c r="A25" s="31">
        <f>VLOOKUP('DB Empleados'!A13,Tabla1[],1,TRUE)</f>
        <v>8</v>
      </c>
      <c r="C25" s="54">
        <f t="shared" ca="1" si="0"/>
        <v>2254</v>
      </c>
      <c r="D25" s="16">
        <f ca="1">VLOOKUP('DB Empleados'!C13,Tabla1[],3,TRUE)</f>
        <v>25</v>
      </c>
      <c r="K25" s="7">
        <f t="shared" ca="1" si="1"/>
        <v>2524.48</v>
      </c>
      <c r="L25" s="55">
        <f t="shared" ca="1" si="2"/>
        <v>121.93238400000001</v>
      </c>
    </row>
    <row r="26" spans="1:19">
      <c r="A26" s="31">
        <f>VLOOKUP('DB Empleados'!A14,Tabla1[],1,TRUE)</f>
        <v>9</v>
      </c>
      <c r="C26" s="54">
        <f t="shared" ca="1" si="0"/>
        <v>2344.16</v>
      </c>
      <c r="D26" s="16">
        <f ca="1">VLOOKUP('DB Empleados'!C14,Tabla1[],3,TRUE)</f>
        <v>26</v>
      </c>
      <c r="K26" s="7">
        <f t="shared" ca="1" si="1"/>
        <v>2524.48</v>
      </c>
      <c r="L26" s="55">
        <f t="shared" ca="1" si="2"/>
        <v>121.93238400000001</v>
      </c>
    </row>
    <row r="27" spans="1:19">
      <c r="A27" s="31">
        <f>VLOOKUP('DB Empleados'!A15,Tabla1[],1,TRUE)</f>
        <v>11</v>
      </c>
      <c r="C27" s="54">
        <f t="shared" ca="1" si="0"/>
        <v>2434.3199999999997</v>
      </c>
      <c r="D27" s="16">
        <f ca="1">VLOOKUP('DB Empleados'!C15,Tabla1[],3,TRUE)</f>
        <v>27</v>
      </c>
      <c r="K27" s="7">
        <f t="shared" ca="1" si="1"/>
        <v>2524.48</v>
      </c>
      <c r="L27" s="55">
        <f t="shared" ca="1" si="2"/>
        <v>121.93238400000001</v>
      </c>
    </row>
    <row r="28" spans="1:19">
      <c r="A28" s="31">
        <f>VLOOKUP('DB Empleados'!A16,Tabla1[],1,TRUE)</f>
        <v>12</v>
      </c>
      <c r="C28" s="54">
        <f t="shared" ca="1" si="0"/>
        <v>2344.16</v>
      </c>
      <c r="D28" s="16">
        <f ca="1">VLOOKUP('DB Empleados'!C16,Tabla1[],3,TRUE)</f>
        <v>26</v>
      </c>
      <c r="K28" s="7">
        <f t="shared" ca="1" si="1"/>
        <v>2524.48</v>
      </c>
      <c r="L28" s="55">
        <f t="shared" ca="1" si="2"/>
        <v>121.93238400000001</v>
      </c>
    </row>
    <row r="29" spans="1:19">
      <c r="A29" s="31">
        <f>VLOOKUP('DB Empleados'!A17,Tabla1[],1,TRUE)</f>
        <v>13</v>
      </c>
      <c r="C29" s="54">
        <f t="shared" ca="1" si="0"/>
        <v>2254</v>
      </c>
      <c r="D29" s="16">
        <f ca="1">VLOOKUP('DB Empleados'!C17,Tabla1[],3,TRUE)</f>
        <v>25</v>
      </c>
      <c r="K29" s="7">
        <f t="shared" ca="1" si="1"/>
        <v>2524.48</v>
      </c>
      <c r="L29" s="55">
        <f t="shared" ca="1" si="2"/>
        <v>121.93238400000001</v>
      </c>
    </row>
    <row r="30" spans="1:19">
      <c r="A30" s="31">
        <f>VLOOKUP('DB Empleados'!A18,Tabla1[],1,TRUE)</f>
        <v>14</v>
      </c>
      <c r="C30" s="54">
        <f t="shared" ca="1" si="0"/>
        <v>2434.3199999999997</v>
      </c>
      <c r="D30" s="16">
        <f ca="1">VLOOKUP('DB Empleados'!C18,Tabla1[],3,TRUE)</f>
        <v>27</v>
      </c>
      <c r="K30" s="7">
        <f t="shared" ca="1" si="1"/>
        <v>2524.48</v>
      </c>
      <c r="L30" s="55">
        <f t="shared" ca="1" si="2"/>
        <v>121.93238400000001</v>
      </c>
    </row>
    <row r="31" spans="1:19">
      <c r="A31" s="31">
        <f>VLOOKUP('DB Empleados'!A19,Tabla1[],1,TRUE)</f>
        <v>15</v>
      </c>
      <c r="C31" s="54">
        <f t="shared" ca="1" si="0"/>
        <v>2614.64</v>
      </c>
      <c r="D31" s="16">
        <f ca="1">VLOOKUP('DB Empleados'!C19,Tabla1[],3,TRUE)</f>
        <v>29</v>
      </c>
      <c r="K31" s="7">
        <f t="shared" ca="1" si="1"/>
        <v>2524.48</v>
      </c>
      <c r="L31" s="55">
        <f t="shared" ca="1" si="2"/>
        <v>121.93238400000001</v>
      </c>
    </row>
    <row r="32" spans="1:19">
      <c r="A32" s="31">
        <f>VLOOKUP('DB Empleados'!A20,Tabla1[],1,TRUE)</f>
        <v>16</v>
      </c>
      <c r="C32" s="54">
        <f t="shared" ca="1" si="0"/>
        <v>2524.48</v>
      </c>
      <c r="D32" s="16">
        <f ca="1">VLOOKUP('DB Empleados'!C20,Tabla1[],3,TRUE)</f>
        <v>28</v>
      </c>
      <c r="K32" s="7">
        <f t="shared" ca="1" si="1"/>
        <v>2524.48</v>
      </c>
      <c r="L32" s="55">
        <f t="shared" ca="1" si="2"/>
        <v>121.93238400000001</v>
      </c>
    </row>
    <row r="33" spans="1:12">
      <c r="A33" s="31">
        <f>VLOOKUP('DB Empleados'!A21,Tabla1[],1,TRUE)</f>
        <v>17</v>
      </c>
      <c r="C33" s="54">
        <f t="shared" ca="1" si="0"/>
        <v>2434.3199999999997</v>
      </c>
      <c r="D33" s="16">
        <f ca="1">VLOOKUP('DB Empleados'!C21,Tabla1[],3,TRUE)</f>
        <v>27</v>
      </c>
      <c r="K33" s="7">
        <f t="shared" ca="1" si="1"/>
        <v>2524.48</v>
      </c>
      <c r="L33" s="55">
        <f t="shared" ca="1" si="2"/>
        <v>121.93238400000001</v>
      </c>
    </row>
    <row r="34" spans="1:12">
      <c r="A34" s="31">
        <f>VLOOKUP('DB Empleados'!A22,Tabla1[],1,TRUE)</f>
        <v>18</v>
      </c>
      <c r="C34" s="54">
        <f t="shared" ca="1" si="0"/>
        <v>2614.64</v>
      </c>
      <c r="D34" s="16">
        <f ca="1">VLOOKUP('DB Empleados'!C22,Tabla1[],3,TRUE)</f>
        <v>29</v>
      </c>
      <c r="K34" s="7">
        <f t="shared" ca="1" si="1"/>
        <v>2524.48</v>
      </c>
      <c r="L34" s="55">
        <f t="shared" ca="1" si="2"/>
        <v>121.93238400000001</v>
      </c>
    </row>
    <row r="35" spans="1:12">
      <c r="A35" s="31">
        <f>VLOOKUP('DB Empleados'!A23,Tabla1[],1,TRUE)</f>
        <v>19</v>
      </c>
      <c r="C35" s="54">
        <f t="shared" ca="1" si="0"/>
        <v>2344.16</v>
      </c>
      <c r="D35" s="16">
        <f ca="1">VLOOKUP('DB Empleados'!C23,Tabla1[],3,TRUE)</f>
        <v>26</v>
      </c>
      <c r="K35" s="7">
        <f t="shared" ca="1" si="1"/>
        <v>2524.48</v>
      </c>
      <c r="L35" s="55">
        <f t="shared" ca="1" si="2"/>
        <v>121.93238400000001</v>
      </c>
    </row>
    <row r="36" spans="1:12">
      <c r="A36" s="31">
        <f>VLOOKUP('DB Empleados'!A24,Tabla1[],1,TRUE)</f>
        <v>20</v>
      </c>
      <c r="C36" s="54">
        <f t="shared" ca="1" si="0"/>
        <v>2254</v>
      </c>
      <c r="D36" s="16">
        <f ca="1">VLOOKUP('DB Empleados'!C24,Tabla1[],3,TRUE)</f>
        <v>25</v>
      </c>
      <c r="K36" s="7">
        <f t="shared" ca="1" si="1"/>
        <v>2524.48</v>
      </c>
      <c r="L36" s="55">
        <f t="shared" ca="1" si="2"/>
        <v>121.93238400000001</v>
      </c>
    </row>
    <row r="37" spans="1:12">
      <c r="A37" s="31">
        <f>VLOOKUP('DB Empleados'!A25,Tabla1[],1,TRUE)</f>
        <v>21</v>
      </c>
      <c r="C37" s="54">
        <f t="shared" ca="1" si="0"/>
        <v>2254</v>
      </c>
      <c r="D37" s="16">
        <f ca="1">VLOOKUP('DB Empleados'!C25,Tabla1[],3,TRUE)</f>
        <v>25</v>
      </c>
      <c r="K37" s="7">
        <f t="shared" ca="1" si="1"/>
        <v>2524.48</v>
      </c>
      <c r="L37" s="55">
        <f t="shared" ca="1" si="2"/>
        <v>121.93238400000001</v>
      </c>
    </row>
    <row r="38" spans="1:12">
      <c r="A38" s="31">
        <f>VLOOKUP('DB Empleados'!A26,Tabla1[],1,TRUE)</f>
        <v>22</v>
      </c>
      <c r="C38" s="54">
        <f t="shared" ca="1" si="0"/>
        <v>2614.64</v>
      </c>
      <c r="D38" s="16">
        <f ca="1">VLOOKUP('DB Empleados'!C26,Tabla1[],3,TRUE)</f>
        <v>29</v>
      </c>
      <c r="K38" s="7">
        <f t="shared" ca="1" si="1"/>
        <v>2524.48</v>
      </c>
      <c r="L38" s="55">
        <f t="shared" ca="1" si="2"/>
        <v>121.93238400000001</v>
      </c>
    </row>
    <row r="39" spans="1:12">
      <c r="A39" s="31">
        <f>VLOOKUP('DB Empleados'!A27,Tabla1[],1,TRUE)</f>
        <v>23</v>
      </c>
      <c r="C39" s="54">
        <f t="shared" ca="1" si="0"/>
        <v>2434.3199999999997</v>
      </c>
      <c r="D39" s="16">
        <f ca="1">VLOOKUP('DB Empleados'!C27,Tabla1[],3,TRUE)</f>
        <v>27</v>
      </c>
      <c r="K39" s="7">
        <f t="shared" ca="1" si="1"/>
        <v>2524.48</v>
      </c>
      <c r="L39" s="55">
        <f t="shared" ca="1" si="2"/>
        <v>121.93238400000001</v>
      </c>
    </row>
    <row r="40" spans="1:12">
      <c r="A40" s="31">
        <f>VLOOKUP('DB Empleados'!A28,Tabla1[],1,TRUE)</f>
        <v>24</v>
      </c>
      <c r="C40" s="54">
        <f t="shared" ca="1" si="0"/>
        <v>2524.48</v>
      </c>
      <c r="D40" s="16">
        <f ca="1">VLOOKUP('DB Empleados'!C28,Tabla1[],3,TRUE)</f>
        <v>28</v>
      </c>
      <c r="K40" s="7">
        <f t="shared" ca="1" si="1"/>
        <v>2524.48</v>
      </c>
      <c r="L40" s="55">
        <f t="shared" ca="1" si="2"/>
        <v>121.93238400000001</v>
      </c>
    </row>
    <row r="41" spans="1:12">
      <c r="A41" s="31">
        <f>VLOOKUP('DB Empleados'!A29,Tabla1[],1,TRUE)</f>
        <v>25</v>
      </c>
      <c r="C41" s="54">
        <f t="shared" ca="1" si="0"/>
        <v>2434.3199999999997</v>
      </c>
      <c r="D41" s="16">
        <f ca="1">VLOOKUP('DB Empleados'!C29,Tabla1[],3,TRUE)</f>
        <v>27</v>
      </c>
      <c r="K41" s="7">
        <f t="shared" ca="1" si="1"/>
        <v>2524.48</v>
      </c>
      <c r="L41" s="55">
        <f t="shared" ca="1" si="2"/>
        <v>121.93238400000001</v>
      </c>
    </row>
    <row r="42" spans="1:12">
      <c r="A42" s="31">
        <f>VLOOKUP('DB Empleados'!A30,Tabla1[],1,TRUE)</f>
        <v>26</v>
      </c>
      <c r="C42" s="54">
        <f t="shared" ca="1" si="0"/>
        <v>2434.3199999999997</v>
      </c>
      <c r="D42" s="16">
        <f ca="1">VLOOKUP('DB Empleados'!C30,Tabla1[],3,TRUE)</f>
        <v>27</v>
      </c>
      <c r="K42" s="7">
        <f t="shared" ca="1" si="1"/>
        <v>2524.48</v>
      </c>
      <c r="L42" s="55">
        <f t="shared" ca="1" si="2"/>
        <v>121.93238400000001</v>
      </c>
    </row>
    <row r="43" spans="1:12">
      <c r="A43" s="31">
        <f>VLOOKUP('DB Empleados'!A31,Tabla1[],1,TRUE)</f>
        <v>27</v>
      </c>
      <c r="C43" s="54">
        <f t="shared" ca="1" si="0"/>
        <v>2434.3199999999997</v>
      </c>
      <c r="D43" s="16">
        <f ca="1">VLOOKUP('DB Empleados'!C31,Tabla1[],3,TRUE)</f>
        <v>27</v>
      </c>
      <c r="K43" s="7">
        <f t="shared" ca="1" si="1"/>
        <v>2524.48</v>
      </c>
      <c r="L43" s="55">
        <f t="shared" ca="1" si="2"/>
        <v>121.93238400000001</v>
      </c>
    </row>
    <row r="44" spans="1:12">
      <c r="A44" s="31">
        <f>VLOOKUP('DB Empleados'!A32,Tabla1[],1,TRUE)</f>
        <v>28</v>
      </c>
      <c r="C44" s="54">
        <f t="shared" ca="1" si="0"/>
        <v>2524.48</v>
      </c>
      <c r="D44" s="16">
        <f ca="1">VLOOKUP('DB Empleados'!C32,Tabla1[],3,TRUE)</f>
        <v>28</v>
      </c>
      <c r="K44" s="7">
        <f t="shared" ca="1" si="1"/>
        <v>2524.48</v>
      </c>
      <c r="L44" s="55">
        <f t="shared" ca="1" si="2"/>
        <v>121.93238400000001</v>
      </c>
    </row>
    <row r="45" spans="1:12">
      <c r="A45" s="31">
        <f>VLOOKUP('DB Empleados'!A33,Tabla1[],1,TRUE)</f>
        <v>29</v>
      </c>
      <c r="C45" s="54">
        <f t="shared" ca="1" si="0"/>
        <v>2254</v>
      </c>
      <c r="D45" s="16">
        <f ca="1">VLOOKUP('DB Empleados'!C33,Tabla1[],3,TRUE)</f>
        <v>25</v>
      </c>
      <c r="K45" s="7">
        <f t="shared" ca="1" si="1"/>
        <v>2524.48</v>
      </c>
      <c r="L45" s="55">
        <f t="shared" ca="1" si="2"/>
        <v>121.93238400000001</v>
      </c>
    </row>
    <row r="46" spans="1:12">
      <c r="A46" s="31">
        <f>VLOOKUP('DB Empleados'!A34,Tabla1[],1,TRUE)</f>
        <v>30</v>
      </c>
      <c r="C46" s="54">
        <f t="shared" ca="1" si="0"/>
        <v>2344.16</v>
      </c>
      <c r="D46" s="16">
        <f ca="1">VLOOKUP('DB Empleados'!C34,Tabla1[],3,TRUE)</f>
        <v>26</v>
      </c>
      <c r="K46" s="7">
        <f t="shared" ca="1" si="1"/>
        <v>2524.48</v>
      </c>
      <c r="L46" s="55">
        <f t="shared" ca="1" si="2"/>
        <v>121.93238400000001</v>
      </c>
    </row>
    <row r="47" spans="1:12">
      <c r="A47" s="31">
        <f>VLOOKUP('DB Empleados'!A35,Tabla1[],1,TRUE)</f>
        <v>31</v>
      </c>
      <c r="C47" s="54">
        <f t="shared" ca="1" si="0"/>
        <v>2524.48</v>
      </c>
      <c r="D47" s="16">
        <f ca="1">VLOOKUP('DB Empleados'!C35,Tabla1[],3,TRUE)</f>
        <v>28</v>
      </c>
      <c r="K47" s="7">
        <f t="shared" ca="1" si="1"/>
        <v>2524.48</v>
      </c>
      <c r="L47" s="55">
        <f t="shared" ca="1" si="2"/>
        <v>121.93238400000001</v>
      </c>
    </row>
    <row r="48" spans="1:12">
      <c r="A48" s="31">
        <f>VLOOKUP('DB Empleados'!A36,Tabla1[],1,TRUE)</f>
        <v>32</v>
      </c>
      <c r="C48" s="54">
        <f t="shared" ca="1" si="0"/>
        <v>2614.64</v>
      </c>
      <c r="D48" s="16">
        <f ca="1">VLOOKUP('DB Empleados'!C36,Tabla1[],3,TRUE)</f>
        <v>29</v>
      </c>
      <c r="K48" s="7">
        <f t="shared" ca="1" si="1"/>
        <v>2524.48</v>
      </c>
      <c r="L48" s="55">
        <f t="shared" ca="1" si="2"/>
        <v>121.93238400000001</v>
      </c>
    </row>
    <row r="49" spans="1:12">
      <c r="A49" s="31">
        <f>VLOOKUP('DB Empleados'!A37,Tabla1[],1,TRUE)</f>
        <v>33</v>
      </c>
      <c r="C49" s="54">
        <f t="shared" ca="1" si="0"/>
        <v>2254</v>
      </c>
      <c r="D49" s="16">
        <f ca="1">VLOOKUP('DB Empleados'!C37,Tabla1[],3,TRUE)</f>
        <v>25</v>
      </c>
      <c r="K49" s="7">
        <f t="shared" ca="1" si="1"/>
        <v>2524.48</v>
      </c>
      <c r="L49" s="55">
        <f t="shared" ca="1" si="2"/>
        <v>121.93238400000001</v>
      </c>
    </row>
    <row r="50" spans="1:12">
      <c r="A50" s="31">
        <f>VLOOKUP('DB Empleados'!A38,Tabla1[],1,TRUE)</f>
        <v>34</v>
      </c>
      <c r="C50" s="54">
        <f t="shared" ca="1" si="0"/>
        <v>2254</v>
      </c>
      <c r="D50" s="16">
        <f ca="1">VLOOKUP('DB Empleados'!C38,Tabla1[],3,TRUE)</f>
        <v>25</v>
      </c>
      <c r="K50" s="7">
        <f t="shared" ca="1" si="1"/>
        <v>2524.48</v>
      </c>
      <c r="L50" s="55">
        <f t="shared" ca="1" si="2"/>
        <v>121.93238400000001</v>
      </c>
    </row>
    <row r="51" spans="1:12">
      <c r="A51" s="31">
        <f>VLOOKUP('DB Empleados'!A39,Tabla1[],1,TRUE)</f>
        <v>35</v>
      </c>
      <c r="C51" s="54">
        <f t="shared" ca="1" si="0"/>
        <v>2344.16</v>
      </c>
      <c r="D51" s="16">
        <f ca="1">VLOOKUP('DB Empleados'!C39,Tabla1[],3,TRUE)</f>
        <v>26</v>
      </c>
      <c r="K51" s="7">
        <f t="shared" ca="1" si="1"/>
        <v>2524.48</v>
      </c>
      <c r="L51" s="55">
        <f t="shared" ca="1" si="2"/>
        <v>121.93238400000001</v>
      </c>
    </row>
    <row r="52" spans="1:12">
      <c r="A52" s="31">
        <f>VLOOKUP('DB Empleados'!A40,Tabla1[],1,TRUE)</f>
        <v>36</v>
      </c>
      <c r="C52" s="54">
        <f t="shared" ca="1" si="0"/>
        <v>2344.16</v>
      </c>
      <c r="D52" s="16">
        <f ca="1">VLOOKUP('DB Empleados'!C40,Tabla1[],3,TRUE)</f>
        <v>26</v>
      </c>
      <c r="K52" s="7">
        <f t="shared" ca="1" si="1"/>
        <v>2524.48</v>
      </c>
      <c r="L52" s="55">
        <f t="shared" ca="1" si="2"/>
        <v>121.93238400000001</v>
      </c>
    </row>
    <row r="53" spans="1:12">
      <c r="A53" s="31">
        <f>VLOOKUP('DB Empleados'!A41,Tabla1[],1,TRUE)</f>
        <v>37</v>
      </c>
      <c r="C53" s="54">
        <f t="shared" ca="1" si="0"/>
        <v>2434.3199999999997</v>
      </c>
      <c r="D53" s="16">
        <f ca="1">VLOOKUP('DB Empleados'!C41,Tabla1[],3,TRUE)</f>
        <v>27</v>
      </c>
      <c r="K53" s="7">
        <f t="shared" ca="1" si="1"/>
        <v>2524.48</v>
      </c>
      <c r="L53" s="55">
        <f t="shared" ca="1" si="2"/>
        <v>121.93238400000001</v>
      </c>
    </row>
    <row r="54" spans="1:12">
      <c r="A54" s="31">
        <f>VLOOKUP('DB Empleados'!A42,Tabla1[],1,TRUE)</f>
        <v>38</v>
      </c>
      <c r="C54" s="54">
        <f t="shared" ca="1" si="0"/>
        <v>2434.3199999999997</v>
      </c>
      <c r="D54" s="16">
        <f ca="1">VLOOKUP('DB Empleados'!C42,Tabla1[],3,TRUE)</f>
        <v>27</v>
      </c>
      <c r="K54" s="7">
        <f t="shared" ca="1" si="1"/>
        <v>2524.48</v>
      </c>
      <c r="L54" s="55">
        <f t="shared" ca="1" si="2"/>
        <v>121.93238400000001</v>
      </c>
    </row>
    <row r="55" spans="1:12">
      <c r="A55" s="31">
        <f>VLOOKUP('DB Empleados'!A43,Tabla1[],1,TRUE)</f>
        <v>39</v>
      </c>
      <c r="C55" s="54">
        <f t="shared" ca="1" si="0"/>
        <v>2434.3199999999997</v>
      </c>
      <c r="D55" s="16">
        <f ca="1">VLOOKUP('DB Empleados'!C43,Tabla1[],3,TRUE)</f>
        <v>27</v>
      </c>
      <c r="K55" s="7">
        <f t="shared" ca="1" si="1"/>
        <v>2524.48</v>
      </c>
      <c r="L55" s="55">
        <f t="shared" ca="1" si="2"/>
        <v>121.93238400000001</v>
      </c>
    </row>
    <row r="56" spans="1:12">
      <c r="A56" s="31">
        <f>VLOOKUP('DB Empleados'!A44,Tabla1[],1,TRUE)</f>
        <v>40</v>
      </c>
      <c r="C56" s="54">
        <f t="shared" ca="1" si="0"/>
        <v>2524.48</v>
      </c>
      <c r="D56" s="16">
        <f ca="1">VLOOKUP('DB Empleados'!C44,Tabla1[],3,TRUE)</f>
        <v>28</v>
      </c>
      <c r="K56" s="7">
        <f t="shared" ca="1" si="1"/>
        <v>2524.48</v>
      </c>
      <c r="L56" s="55">
        <f t="shared" ca="1" si="2"/>
        <v>121.93238400000001</v>
      </c>
    </row>
    <row r="57" spans="1:12">
      <c r="A57" s="31">
        <f>VLOOKUP('DB Empleados'!A45,Tabla1[],1,TRUE)</f>
        <v>41</v>
      </c>
      <c r="C57" s="54">
        <f t="shared" ca="1" si="0"/>
        <v>2524.48</v>
      </c>
      <c r="D57" s="16">
        <f ca="1">VLOOKUP('DB Empleados'!C45,Tabla1[],3,TRUE)</f>
        <v>28</v>
      </c>
      <c r="K57" s="7">
        <f t="shared" ca="1" si="1"/>
        <v>2524.48</v>
      </c>
      <c r="L57" s="55">
        <f t="shared" ca="1" si="2"/>
        <v>121.93238400000001</v>
      </c>
    </row>
    <row r="58" spans="1:12">
      <c r="A58" s="31">
        <f>VLOOKUP('DB Empleados'!A46,Tabla1[],1,TRUE)</f>
        <v>42</v>
      </c>
      <c r="C58" s="54">
        <f t="shared" ca="1" si="0"/>
        <v>2254</v>
      </c>
      <c r="D58" s="16">
        <f ca="1">VLOOKUP('DB Empleados'!C46,Tabla1[],3,TRUE)</f>
        <v>25</v>
      </c>
      <c r="K58" s="7">
        <f t="shared" ca="1" si="1"/>
        <v>2524.48</v>
      </c>
      <c r="L58" s="55">
        <f t="shared" ca="1" si="2"/>
        <v>121.93238400000001</v>
      </c>
    </row>
    <row r="59" spans="1:12">
      <c r="A59" s="31">
        <f>VLOOKUP('DB Empleados'!A47,Tabla1[],1,TRUE)</f>
        <v>43</v>
      </c>
      <c r="C59" s="54">
        <f t="shared" ca="1" si="0"/>
        <v>2434.3199999999997</v>
      </c>
      <c r="D59" s="16">
        <f ca="1">VLOOKUP('DB Empleados'!C47,Tabla1[],3,TRUE)</f>
        <v>27</v>
      </c>
      <c r="K59" s="7">
        <f t="shared" ca="1" si="1"/>
        <v>2524.48</v>
      </c>
      <c r="L59" s="55">
        <f t="shared" ca="1" si="2"/>
        <v>121.93238400000001</v>
      </c>
    </row>
    <row r="60" spans="1:12">
      <c r="A60" s="31">
        <f>VLOOKUP('DB Empleados'!A48,Tabla1[],1,TRUE)</f>
        <v>44</v>
      </c>
      <c r="C60" s="54">
        <f t="shared" ca="1" si="0"/>
        <v>2254</v>
      </c>
      <c r="D60" s="16">
        <f ca="1">VLOOKUP('DB Empleados'!C48,Tabla1[],3,TRUE)</f>
        <v>25</v>
      </c>
      <c r="K60" s="7">
        <f t="shared" ca="1" si="1"/>
        <v>2524.48</v>
      </c>
      <c r="L60" s="55">
        <f t="shared" ca="1" si="2"/>
        <v>121.93238400000001</v>
      </c>
    </row>
    <row r="61" spans="1:12">
      <c r="A61" s="31">
        <f>VLOOKUP('DB Empleados'!A49,Tabla1[],1,TRUE)</f>
        <v>45</v>
      </c>
      <c r="C61" s="54">
        <f t="shared" ca="1" si="0"/>
        <v>2524.48</v>
      </c>
      <c r="D61" s="16">
        <f ca="1">VLOOKUP('DB Empleados'!C49,Tabla1[],3,TRUE)</f>
        <v>28</v>
      </c>
      <c r="K61" s="7">
        <f t="shared" ca="1" si="1"/>
        <v>2524.48</v>
      </c>
      <c r="L61" s="55">
        <f t="shared" ca="1" si="2"/>
        <v>121.93238400000001</v>
      </c>
    </row>
    <row r="62" spans="1:12">
      <c r="A62" s="31">
        <f>VLOOKUP('DB Empleados'!A50,Tabla1[],1,TRUE)</f>
        <v>46</v>
      </c>
      <c r="C62" s="54">
        <f t="shared" ca="1" si="0"/>
        <v>2434.3199999999997</v>
      </c>
      <c r="D62" s="16">
        <f ca="1">VLOOKUP('DB Empleados'!C50,Tabla1[],3,TRUE)</f>
        <v>27</v>
      </c>
      <c r="K62" s="7">
        <f t="shared" ca="1" si="1"/>
        <v>2524.48</v>
      </c>
      <c r="L62" s="55">
        <f t="shared" ca="1" si="2"/>
        <v>121.93238400000001</v>
      </c>
    </row>
    <row r="63" spans="1:12">
      <c r="A63" s="31">
        <f>VLOOKUP('DB Empleados'!A51,Tabla1[],1,TRUE)</f>
        <v>47</v>
      </c>
      <c r="C63" s="54">
        <f t="shared" ca="1" si="0"/>
        <v>2614.64</v>
      </c>
      <c r="D63" s="16">
        <f ca="1">VLOOKUP('DB Empleados'!C51,Tabla1[],3,TRUE)</f>
        <v>29</v>
      </c>
      <c r="K63" s="7">
        <f t="shared" ca="1" si="1"/>
        <v>2524.48</v>
      </c>
      <c r="L63" s="55">
        <f t="shared" ca="1" si="2"/>
        <v>121.93238400000001</v>
      </c>
    </row>
    <row r="64" spans="1:12">
      <c r="A64" s="31">
        <f>VLOOKUP('DB Empleados'!A52,Tabla1[],1,TRUE)</f>
        <v>48</v>
      </c>
      <c r="C64" s="54">
        <f t="shared" ca="1" si="0"/>
        <v>2434.3199999999997</v>
      </c>
      <c r="D64" s="16">
        <f ca="1">VLOOKUP('DB Empleados'!C52,Tabla1[],3,TRUE)</f>
        <v>27</v>
      </c>
      <c r="K64" s="7">
        <f t="shared" ca="1" si="1"/>
        <v>2524.48</v>
      </c>
      <c r="L64" s="55">
        <f t="shared" ca="1" si="2"/>
        <v>121.93238400000001</v>
      </c>
    </row>
    <row r="65" spans="1:12">
      <c r="A65" s="31">
        <f>VLOOKUP('DB Empleados'!A53,Tabla1[],1,TRUE)</f>
        <v>49</v>
      </c>
      <c r="C65" s="54">
        <f t="shared" ca="1" si="0"/>
        <v>2254</v>
      </c>
      <c r="D65" s="16">
        <f ca="1">VLOOKUP('DB Empleados'!C53,Tabla1[],3,TRUE)</f>
        <v>25</v>
      </c>
      <c r="K65" s="7">
        <f t="shared" ca="1" si="1"/>
        <v>2524.48</v>
      </c>
      <c r="L65" s="55">
        <f t="shared" ca="1" si="2"/>
        <v>121.93238400000001</v>
      </c>
    </row>
    <row r="66" spans="1:12">
      <c r="A66" s="31">
        <f>VLOOKUP('DB Empleados'!A54,Tabla1[],1,TRUE)</f>
        <v>50</v>
      </c>
      <c r="C66" s="54">
        <f t="shared" ca="1" si="0"/>
        <v>2254</v>
      </c>
      <c r="D66" s="16">
        <f ca="1">VLOOKUP('DB Empleados'!C54,Tabla1[],3,TRUE)</f>
        <v>25</v>
      </c>
      <c r="K66" s="7">
        <f t="shared" ca="1" si="1"/>
        <v>2524.48</v>
      </c>
      <c r="L66" s="55">
        <f t="shared" ca="1" si="2"/>
        <v>121.93238400000001</v>
      </c>
    </row>
    <row r="67" spans="1:12">
      <c r="A67" s="31">
        <f>VLOOKUP('DB Empleados'!A55,Tabla1[],1,TRUE)</f>
        <v>51</v>
      </c>
      <c r="C67" s="54">
        <f t="shared" ca="1" si="0"/>
        <v>2254</v>
      </c>
      <c r="D67" s="16">
        <f ca="1">VLOOKUP('DB Empleados'!C55,Tabla1[],3,TRUE)</f>
        <v>25</v>
      </c>
      <c r="K67" s="7">
        <f t="shared" ca="1" si="1"/>
        <v>2524.48</v>
      </c>
      <c r="L67" s="55">
        <f t="shared" ca="1" si="2"/>
        <v>121.93238400000001</v>
      </c>
    </row>
    <row r="68" spans="1:12">
      <c r="A68" s="31">
        <f>VLOOKUP('DB Empleados'!A56,Tabla1[],1,TRUE)</f>
        <v>52</v>
      </c>
      <c r="C68" s="54">
        <f t="shared" ca="1" si="0"/>
        <v>2434.3199999999997</v>
      </c>
      <c r="D68" s="16">
        <f ca="1">VLOOKUP('DB Empleados'!C56,Tabla1[],3,TRUE)</f>
        <v>27</v>
      </c>
      <c r="K68" s="7">
        <f t="shared" ca="1" si="1"/>
        <v>2524.48</v>
      </c>
      <c r="L68" s="55">
        <f t="shared" ca="1" si="2"/>
        <v>121.93238400000001</v>
      </c>
    </row>
    <row r="69" spans="1:12">
      <c r="A69" s="31">
        <f>VLOOKUP('DB Empleados'!A57,Tabla1[],1,TRUE)</f>
        <v>53</v>
      </c>
      <c r="C69" s="54">
        <f t="shared" ca="1" si="0"/>
        <v>2434.3199999999997</v>
      </c>
      <c r="D69" s="16">
        <f ca="1">VLOOKUP('DB Empleados'!C57,Tabla1[],3,TRUE)</f>
        <v>27</v>
      </c>
      <c r="K69" s="7">
        <f t="shared" ca="1" si="1"/>
        <v>2524.48</v>
      </c>
      <c r="L69" s="55">
        <f t="shared" ca="1" si="2"/>
        <v>121.93238400000001</v>
      </c>
    </row>
    <row r="70" spans="1:12">
      <c r="A70" s="31">
        <f>VLOOKUP('DB Empleados'!A58,Tabla1[],1,TRUE)</f>
        <v>54</v>
      </c>
      <c r="C70" s="54">
        <f t="shared" ca="1" si="0"/>
        <v>2524.48</v>
      </c>
      <c r="D70" s="16">
        <f ca="1">VLOOKUP('DB Empleados'!C58,Tabla1[],3,TRUE)</f>
        <v>28</v>
      </c>
      <c r="K70" s="7">
        <f t="shared" ca="1" si="1"/>
        <v>2524.48</v>
      </c>
      <c r="L70" s="55">
        <f t="shared" ca="1" si="2"/>
        <v>121.93238400000001</v>
      </c>
    </row>
    <row r="71" spans="1:12">
      <c r="A71" s="31">
        <f>VLOOKUP('DB Empleados'!A59,Tabla1[],1,TRUE)</f>
        <v>55</v>
      </c>
      <c r="C71" s="54">
        <f t="shared" ca="1" si="0"/>
        <v>2434.3199999999997</v>
      </c>
      <c r="D71" s="16">
        <f ca="1">VLOOKUP('DB Empleados'!C59,Tabla1[],3,TRUE)</f>
        <v>27</v>
      </c>
      <c r="K71" s="7">
        <f t="shared" ca="1" si="1"/>
        <v>2524.48</v>
      </c>
      <c r="L71" s="55">
        <f t="shared" ca="1" si="2"/>
        <v>121.93238400000001</v>
      </c>
    </row>
    <row r="72" spans="1:12">
      <c r="A72" s="31">
        <f>VLOOKUP('DB Empleados'!A60,Tabla1[],1,TRUE)</f>
        <v>56</v>
      </c>
      <c r="C72" s="54">
        <f t="shared" ca="1" si="0"/>
        <v>2434.3199999999997</v>
      </c>
      <c r="D72" s="16">
        <f ca="1">VLOOKUP('DB Empleados'!C60,Tabla1[],3,TRUE)</f>
        <v>27</v>
      </c>
      <c r="K72" s="7">
        <f t="shared" ca="1" si="1"/>
        <v>2524.48</v>
      </c>
      <c r="L72" s="55">
        <f t="shared" ca="1" si="2"/>
        <v>121.93238400000001</v>
      </c>
    </row>
    <row r="73" spans="1:12">
      <c r="A73" s="31">
        <f>VLOOKUP('DB Empleados'!A61,Tabla1[],1,TRUE)</f>
        <v>57</v>
      </c>
      <c r="C73" s="54">
        <f t="shared" ca="1" si="0"/>
        <v>2254</v>
      </c>
      <c r="D73" s="16">
        <f ca="1">VLOOKUP('DB Empleados'!C61,Tabla1[],3,TRUE)</f>
        <v>25</v>
      </c>
      <c r="K73" s="7">
        <f t="shared" ca="1" si="1"/>
        <v>2524.48</v>
      </c>
      <c r="L73" s="55">
        <f t="shared" ca="1" si="2"/>
        <v>121.93238400000001</v>
      </c>
    </row>
    <row r="74" spans="1:12">
      <c r="A74" s="31">
        <f>VLOOKUP('DB Empleados'!A62,Tabla1[],1,TRUE)</f>
        <v>58</v>
      </c>
      <c r="C74" s="54">
        <f t="shared" ca="1" si="0"/>
        <v>2434.3199999999997</v>
      </c>
      <c r="D74" s="16">
        <f ca="1">VLOOKUP('DB Empleados'!C62,Tabla1[],3,TRUE)</f>
        <v>27</v>
      </c>
      <c r="K74" s="7">
        <f t="shared" ca="1" si="1"/>
        <v>2524.48</v>
      </c>
      <c r="L74" s="55">
        <f t="shared" ca="1" si="2"/>
        <v>121.93238400000001</v>
      </c>
    </row>
    <row r="75" spans="1:12">
      <c r="A75" s="31">
        <f>VLOOKUP('DB Empleados'!A63,Tabla1[],1,TRUE)</f>
        <v>59</v>
      </c>
      <c r="C75" s="54">
        <f t="shared" ca="1" si="0"/>
        <v>2344.16</v>
      </c>
      <c r="D75" s="16">
        <f ca="1">VLOOKUP('DB Empleados'!C63,Tabla1[],3,TRUE)</f>
        <v>26</v>
      </c>
      <c r="K75" s="7">
        <f t="shared" ca="1" si="1"/>
        <v>2524.48</v>
      </c>
      <c r="L75" s="55">
        <f t="shared" ca="1" si="2"/>
        <v>121.93238400000001</v>
      </c>
    </row>
    <row r="76" spans="1:12">
      <c r="A76" s="31">
        <f>VLOOKUP('DB Empleados'!A64,Tabla1[],1,TRUE)</f>
        <v>60</v>
      </c>
      <c r="C76" s="54">
        <f t="shared" ca="1" si="0"/>
        <v>2524.48</v>
      </c>
      <c r="D76" s="16">
        <f ca="1">VLOOKUP('DB Empleados'!C64,Tabla1[],3,TRUE)</f>
        <v>28</v>
      </c>
      <c r="K76" s="7">
        <f t="shared" ca="1" si="1"/>
        <v>2524.48</v>
      </c>
      <c r="L76" s="55">
        <f t="shared" ca="1" si="2"/>
        <v>121.93238400000001</v>
      </c>
    </row>
    <row r="77" spans="1:12">
      <c r="A77" s="31">
        <f>VLOOKUP('DB Empleados'!A65,Tabla1[],1,TRUE)</f>
        <v>61</v>
      </c>
      <c r="C77" s="54">
        <f t="shared" ca="1" si="0"/>
        <v>2434.3199999999997</v>
      </c>
      <c r="D77" s="16">
        <f ca="1">VLOOKUP('DB Empleados'!C65,Tabla1[],3,TRUE)</f>
        <v>27</v>
      </c>
      <c r="K77" s="7">
        <f t="shared" ca="1" si="1"/>
        <v>2524.48</v>
      </c>
      <c r="L77" s="55">
        <f t="shared" ca="1" si="2"/>
        <v>121.93238400000001</v>
      </c>
    </row>
    <row r="78" spans="1:12">
      <c r="A78" s="31">
        <f>VLOOKUP('DB Empleados'!A66,Tabla1[],1,TRUE)</f>
        <v>62</v>
      </c>
      <c r="C78" s="54">
        <f t="shared" ca="1" si="0"/>
        <v>2344.16</v>
      </c>
      <c r="D78" s="16">
        <f ca="1">VLOOKUP('DB Empleados'!C66,Tabla1[],3,TRUE)</f>
        <v>26</v>
      </c>
      <c r="K78" s="7">
        <f t="shared" ca="1" si="1"/>
        <v>2524.48</v>
      </c>
      <c r="L78" s="55">
        <f t="shared" ca="1" si="2"/>
        <v>121.93238400000001</v>
      </c>
    </row>
    <row r="79" spans="1:12">
      <c r="A79" s="31">
        <f>VLOOKUP('DB Empleados'!A67,Tabla1[],1,TRUE)</f>
        <v>63</v>
      </c>
      <c r="C79" s="54">
        <f t="shared" ca="1" si="0"/>
        <v>2254</v>
      </c>
      <c r="D79" s="16">
        <f ca="1">VLOOKUP('DB Empleados'!C67,Tabla1[],3,TRUE)</f>
        <v>25</v>
      </c>
      <c r="K79" s="7">
        <f t="shared" ca="1" si="1"/>
        <v>2524.48</v>
      </c>
      <c r="L79" s="55">
        <f t="shared" ca="1" si="2"/>
        <v>121.93238400000001</v>
      </c>
    </row>
    <row r="80" spans="1:12">
      <c r="A80" s="31">
        <f>VLOOKUP('DB Empleados'!A68,Tabla1[],1,TRUE)</f>
        <v>64</v>
      </c>
      <c r="C80" s="54">
        <f t="shared" ca="1" si="0"/>
        <v>2434.3199999999997</v>
      </c>
      <c r="D80" s="16">
        <f ca="1">VLOOKUP('DB Empleados'!C68,Tabla1[],3,TRUE)</f>
        <v>27</v>
      </c>
      <c r="K80" s="7">
        <f t="shared" ca="1" si="1"/>
        <v>2524.48</v>
      </c>
      <c r="L80" s="55">
        <f t="shared" ca="1" si="2"/>
        <v>121.93238400000001</v>
      </c>
    </row>
    <row r="81" spans="1:12">
      <c r="A81" s="31">
        <f>VLOOKUP('DB Empleados'!A69,Tabla1[],1,TRUE)</f>
        <v>65</v>
      </c>
      <c r="C81" s="54">
        <f t="shared" ca="1" si="0"/>
        <v>2254</v>
      </c>
      <c r="D81" s="16">
        <f ca="1">VLOOKUP('DB Empleados'!C69,Tabla1[],3,TRUE)</f>
        <v>25</v>
      </c>
      <c r="K81" s="7">
        <f t="shared" ca="1" si="1"/>
        <v>2524.48</v>
      </c>
      <c r="L81" s="55">
        <f t="shared" ca="1" si="2"/>
        <v>121.93238400000001</v>
      </c>
    </row>
    <row r="82" spans="1:12">
      <c r="A82" s="31">
        <f>VLOOKUP('DB Empleados'!A70,Tabla1[],1,TRUE)</f>
        <v>66</v>
      </c>
      <c r="C82" s="54">
        <f t="shared" ref="C82:C116" ca="1" si="3">(90.16*D82)</f>
        <v>2254</v>
      </c>
      <c r="D82" s="16">
        <f ca="1">VLOOKUP('DB Empleados'!C70,Tabla1[],3,TRUE)</f>
        <v>25</v>
      </c>
      <c r="K82" s="7">
        <f t="shared" ref="K82:K116" ca="1" si="4">VLOOKUP(C82,A82:S181,3,TRUE)</f>
        <v>2524.48</v>
      </c>
      <c r="L82" s="55">
        <f t="shared" ca="1" si="2"/>
        <v>121.93238400000001</v>
      </c>
    </row>
    <row r="83" spans="1:12">
      <c r="A83" s="31">
        <f>VLOOKUP('DB Empleados'!A71,Tabla1[],1,TRUE)</f>
        <v>67</v>
      </c>
      <c r="C83" s="54">
        <f t="shared" ca="1" si="3"/>
        <v>2254</v>
      </c>
      <c r="D83" s="16">
        <f ca="1">VLOOKUP('DB Empleados'!C71,Tabla1[],3,TRUE)</f>
        <v>25</v>
      </c>
      <c r="K83" s="7">
        <f t="shared" ca="1" si="4"/>
        <v>2524.48</v>
      </c>
      <c r="L83" s="55">
        <f t="shared" ca="1" si="2"/>
        <v>121.93238400000001</v>
      </c>
    </row>
    <row r="84" spans="1:12">
      <c r="A84" s="31">
        <f>VLOOKUP('DB Empleados'!A72,Tabla1[],1,TRUE)</f>
        <v>68</v>
      </c>
      <c r="C84" s="54">
        <f t="shared" ca="1" si="3"/>
        <v>2434.3199999999997</v>
      </c>
      <c r="D84" s="16">
        <f ca="1">VLOOKUP('DB Empleados'!C72,Tabla1[],3,TRUE)</f>
        <v>27</v>
      </c>
      <c r="K84" s="7">
        <f t="shared" ca="1" si="4"/>
        <v>2524.48</v>
      </c>
      <c r="L84" s="55">
        <f t="shared" ref="L84:L116" ca="1" si="5">SUM(4.83%*K84)</f>
        <v>121.93238400000001</v>
      </c>
    </row>
    <row r="85" spans="1:12">
      <c r="A85" s="31">
        <f>VLOOKUP('DB Empleados'!A73,Tabla1[],1,TRUE)</f>
        <v>69</v>
      </c>
      <c r="C85" s="54">
        <f t="shared" ca="1" si="3"/>
        <v>2434.3199999999997</v>
      </c>
      <c r="D85" s="16">
        <f ca="1">VLOOKUP('DB Empleados'!C73,Tabla1[],3,TRUE)</f>
        <v>27</v>
      </c>
      <c r="K85" s="7">
        <f t="shared" ca="1" si="4"/>
        <v>2524.48</v>
      </c>
      <c r="L85" s="55">
        <f t="shared" ca="1" si="5"/>
        <v>121.93238400000001</v>
      </c>
    </row>
    <row r="86" spans="1:12">
      <c r="A86" s="31">
        <f>VLOOKUP('DB Empleados'!A74,Tabla1[],1,TRUE)</f>
        <v>70</v>
      </c>
      <c r="C86" s="54">
        <f t="shared" ca="1" si="3"/>
        <v>2254</v>
      </c>
      <c r="D86" s="16">
        <f ca="1">VLOOKUP('DB Empleados'!C74,Tabla1[],3,TRUE)</f>
        <v>25</v>
      </c>
      <c r="K86" s="7">
        <f t="shared" ca="1" si="4"/>
        <v>2524.48</v>
      </c>
      <c r="L86" s="55">
        <f t="shared" ca="1" si="5"/>
        <v>121.93238400000001</v>
      </c>
    </row>
    <row r="87" spans="1:12">
      <c r="A87" s="31">
        <f>VLOOKUP('DB Empleados'!A75,Tabla1[],1,TRUE)</f>
        <v>71</v>
      </c>
      <c r="C87" s="54">
        <f t="shared" ca="1" si="3"/>
        <v>2614.64</v>
      </c>
      <c r="D87" s="16">
        <f ca="1">VLOOKUP('DB Empleados'!C75,Tabla1[],3,TRUE)</f>
        <v>29</v>
      </c>
      <c r="K87" s="7">
        <f t="shared" ca="1" si="4"/>
        <v>2524.48</v>
      </c>
      <c r="L87" s="55">
        <f t="shared" ca="1" si="5"/>
        <v>121.93238400000001</v>
      </c>
    </row>
    <row r="88" spans="1:12">
      <c r="A88" s="31">
        <f>VLOOKUP('DB Empleados'!A76,Tabla1[],1,TRUE)</f>
        <v>72</v>
      </c>
      <c r="C88" s="54">
        <f t="shared" ca="1" si="3"/>
        <v>2434.3199999999997</v>
      </c>
      <c r="D88" s="16">
        <f ca="1">VLOOKUP('DB Empleados'!C76,Tabla1[],3,TRUE)</f>
        <v>27</v>
      </c>
      <c r="K88" s="7">
        <f t="shared" ca="1" si="4"/>
        <v>2524.48</v>
      </c>
      <c r="L88" s="55">
        <f t="shared" ca="1" si="5"/>
        <v>121.93238400000001</v>
      </c>
    </row>
    <row r="89" spans="1:12">
      <c r="A89" s="31">
        <f>VLOOKUP('DB Empleados'!A77,Tabla1[],1,TRUE)</f>
        <v>73</v>
      </c>
      <c r="C89" s="54">
        <f t="shared" ca="1" si="3"/>
        <v>2254</v>
      </c>
      <c r="D89" s="16">
        <f ca="1">VLOOKUP('DB Empleados'!C77,Tabla1[],3,TRUE)</f>
        <v>25</v>
      </c>
      <c r="K89" s="7">
        <f t="shared" ca="1" si="4"/>
        <v>2524.48</v>
      </c>
      <c r="L89" s="55">
        <f t="shared" ca="1" si="5"/>
        <v>121.93238400000001</v>
      </c>
    </row>
    <row r="90" spans="1:12">
      <c r="A90" s="31">
        <f>VLOOKUP('DB Empleados'!A78,Tabla1[],1,TRUE)</f>
        <v>74</v>
      </c>
      <c r="C90" s="54">
        <f t="shared" ca="1" si="3"/>
        <v>2614.64</v>
      </c>
      <c r="D90" s="16">
        <f ca="1">VLOOKUP('DB Empleados'!C78,Tabla1[],3,TRUE)</f>
        <v>29</v>
      </c>
      <c r="K90" s="7">
        <f t="shared" ca="1" si="4"/>
        <v>2524.48</v>
      </c>
      <c r="L90" s="55">
        <f t="shared" ca="1" si="5"/>
        <v>121.93238400000001</v>
      </c>
    </row>
    <row r="91" spans="1:12">
      <c r="A91" s="31">
        <f>VLOOKUP('DB Empleados'!A79,Tabla1[],1,TRUE)</f>
        <v>75</v>
      </c>
      <c r="C91" s="54">
        <f t="shared" ca="1" si="3"/>
        <v>2344.16</v>
      </c>
      <c r="D91" s="16">
        <f ca="1">VLOOKUP('DB Empleados'!C79,Tabla1[],3,TRUE)</f>
        <v>26</v>
      </c>
      <c r="K91" s="7">
        <f t="shared" ca="1" si="4"/>
        <v>2524.48</v>
      </c>
      <c r="L91" s="55">
        <f t="shared" ca="1" si="5"/>
        <v>121.93238400000001</v>
      </c>
    </row>
    <row r="92" spans="1:12">
      <c r="A92" s="31">
        <f>VLOOKUP('DB Empleados'!A80,Tabla1[],1,TRUE)</f>
        <v>76</v>
      </c>
      <c r="C92" s="54">
        <f t="shared" ca="1" si="3"/>
        <v>2344.16</v>
      </c>
      <c r="D92" s="16">
        <f ca="1">VLOOKUP('DB Empleados'!C80,Tabla1[],3,TRUE)</f>
        <v>26</v>
      </c>
      <c r="K92" s="7">
        <f t="shared" ca="1" si="4"/>
        <v>2524.48</v>
      </c>
      <c r="L92" s="55">
        <f t="shared" ca="1" si="5"/>
        <v>121.93238400000001</v>
      </c>
    </row>
    <row r="93" spans="1:12">
      <c r="A93" s="31">
        <f>VLOOKUP('DB Empleados'!A81,Tabla1[],1,TRUE)</f>
        <v>77</v>
      </c>
      <c r="C93" s="54">
        <f t="shared" ca="1" si="3"/>
        <v>2344.16</v>
      </c>
      <c r="D93" s="16">
        <f ca="1">VLOOKUP('DB Empleados'!C81,Tabla1[],3,TRUE)</f>
        <v>26</v>
      </c>
      <c r="K93" s="7">
        <f t="shared" ca="1" si="4"/>
        <v>2524.48</v>
      </c>
      <c r="L93" s="55">
        <f t="shared" ca="1" si="5"/>
        <v>121.93238400000001</v>
      </c>
    </row>
    <row r="94" spans="1:12">
      <c r="A94" s="31">
        <f>VLOOKUP('DB Empleados'!A82,Tabla1[],1,TRUE)</f>
        <v>78</v>
      </c>
      <c r="C94" s="54">
        <f t="shared" ca="1" si="3"/>
        <v>2344.16</v>
      </c>
      <c r="D94" s="16">
        <f ca="1">VLOOKUP('DB Empleados'!C82,Tabla1[],3,TRUE)</f>
        <v>26</v>
      </c>
      <c r="K94" s="7">
        <f t="shared" ca="1" si="4"/>
        <v>2524.48</v>
      </c>
      <c r="L94" s="55">
        <f t="shared" ca="1" si="5"/>
        <v>121.93238400000001</v>
      </c>
    </row>
    <row r="95" spans="1:12">
      <c r="A95" s="31">
        <f>VLOOKUP('DB Empleados'!A83,Tabla1[],1,TRUE)</f>
        <v>79</v>
      </c>
      <c r="C95" s="54">
        <f t="shared" ca="1" si="3"/>
        <v>2254</v>
      </c>
      <c r="D95" s="16">
        <f ca="1">VLOOKUP('DB Empleados'!C83,Tabla1[],3,TRUE)</f>
        <v>25</v>
      </c>
      <c r="K95" s="7">
        <f t="shared" ca="1" si="4"/>
        <v>2524.48</v>
      </c>
      <c r="L95" s="55">
        <f t="shared" ca="1" si="5"/>
        <v>121.93238400000001</v>
      </c>
    </row>
    <row r="96" spans="1:12">
      <c r="A96" s="31">
        <f>VLOOKUP('DB Empleados'!A84,Tabla1[],1,TRUE)</f>
        <v>80</v>
      </c>
      <c r="C96" s="54">
        <f t="shared" ca="1" si="3"/>
        <v>2614.64</v>
      </c>
      <c r="D96" s="16">
        <f ca="1">VLOOKUP('DB Empleados'!C84,Tabla1[],3,TRUE)</f>
        <v>29</v>
      </c>
      <c r="K96" s="7">
        <f t="shared" ca="1" si="4"/>
        <v>2524.48</v>
      </c>
      <c r="L96" s="55">
        <f t="shared" ca="1" si="5"/>
        <v>121.93238400000001</v>
      </c>
    </row>
    <row r="97" spans="1:12">
      <c r="A97" s="31">
        <f>VLOOKUP('DB Empleados'!A85,Tabla1[],1,TRUE)</f>
        <v>81</v>
      </c>
      <c r="C97" s="54">
        <f t="shared" ca="1" si="3"/>
        <v>2344.16</v>
      </c>
      <c r="D97" s="16">
        <f ca="1">VLOOKUP('DB Empleados'!C85,Tabla1[],3,TRUE)</f>
        <v>26</v>
      </c>
      <c r="K97" s="7">
        <f t="shared" ca="1" si="4"/>
        <v>2524.48</v>
      </c>
      <c r="L97" s="55">
        <f t="shared" ca="1" si="5"/>
        <v>121.93238400000001</v>
      </c>
    </row>
    <row r="98" spans="1:12">
      <c r="A98" s="31">
        <f>VLOOKUP('DB Empleados'!A86,Tabla1[],1,TRUE)</f>
        <v>82</v>
      </c>
      <c r="C98" s="54">
        <f t="shared" ca="1" si="3"/>
        <v>2344.16</v>
      </c>
      <c r="D98" s="16">
        <f ca="1">VLOOKUP('DB Empleados'!C86,Tabla1[],3,TRUE)</f>
        <v>26</v>
      </c>
      <c r="K98" s="7">
        <f t="shared" ca="1" si="4"/>
        <v>2524.48</v>
      </c>
      <c r="L98" s="55">
        <f t="shared" ca="1" si="5"/>
        <v>121.93238400000001</v>
      </c>
    </row>
    <row r="99" spans="1:12">
      <c r="A99" s="31">
        <f>VLOOKUP('DB Empleados'!A87,Tabla1[],1,TRUE)</f>
        <v>83</v>
      </c>
      <c r="C99" s="54">
        <f t="shared" ca="1" si="3"/>
        <v>2614.64</v>
      </c>
      <c r="D99" s="16">
        <f ca="1">VLOOKUP('DB Empleados'!C87,Tabla1[],3,TRUE)</f>
        <v>29</v>
      </c>
      <c r="K99" s="7">
        <f t="shared" ca="1" si="4"/>
        <v>2524.48</v>
      </c>
      <c r="L99" s="55">
        <f t="shared" ca="1" si="5"/>
        <v>121.93238400000001</v>
      </c>
    </row>
    <row r="100" spans="1:12">
      <c r="A100" s="31">
        <f>VLOOKUP('DB Empleados'!A88,Tabla1[],1,TRUE)</f>
        <v>84</v>
      </c>
      <c r="C100" s="54">
        <f t="shared" ca="1" si="3"/>
        <v>2434.3199999999997</v>
      </c>
      <c r="D100" s="16">
        <f ca="1">VLOOKUP('DB Empleados'!C88,Tabla1[],3,TRUE)</f>
        <v>27</v>
      </c>
      <c r="K100" s="7">
        <f t="shared" ca="1" si="4"/>
        <v>2524.48</v>
      </c>
      <c r="L100" s="55">
        <f t="shared" ca="1" si="5"/>
        <v>121.93238400000001</v>
      </c>
    </row>
    <row r="101" spans="1:12">
      <c r="A101" s="31">
        <f>VLOOKUP('DB Empleados'!A89,Tabla1[],1,TRUE)</f>
        <v>85</v>
      </c>
      <c r="C101" s="54">
        <f t="shared" ca="1" si="3"/>
        <v>2254</v>
      </c>
      <c r="D101" s="16">
        <f ca="1">VLOOKUP('DB Empleados'!C89,Tabla1[],3,TRUE)</f>
        <v>25</v>
      </c>
      <c r="K101" s="7">
        <f t="shared" ca="1" si="4"/>
        <v>2524.48</v>
      </c>
      <c r="L101" s="55">
        <f t="shared" ca="1" si="5"/>
        <v>121.93238400000001</v>
      </c>
    </row>
    <row r="102" spans="1:12">
      <c r="A102" s="31">
        <f>VLOOKUP('DB Empleados'!A90,Tabla1[],1,TRUE)</f>
        <v>86</v>
      </c>
      <c r="C102" s="54">
        <f t="shared" ca="1" si="3"/>
        <v>2524.48</v>
      </c>
      <c r="D102" s="16">
        <f ca="1">VLOOKUP('DB Empleados'!C90,Tabla1[],3,TRUE)</f>
        <v>28</v>
      </c>
      <c r="K102" s="7">
        <f t="shared" ca="1" si="4"/>
        <v>2524.48</v>
      </c>
      <c r="L102" s="55">
        <f t="shared" ca="1" si="5"/>
        <v>121.93238400000001</v>
      </c>
    </row>
    <row r="103" spans="1:12">
      <c r="A103" s="31">
        <f>VLOOKUP('DB Empleados'!A91,Tabla1[],1,TRUE)</f>
        <v>87</v>
      </c>
      <c r="C103" s="54">
        <f t="shared" ca="1" si="3"/>
        <v>2344.16</v>
      </c>
      <c r="D103" s="16">
        <f ca="1">VLOOKUP('DB Empleados'!C91,Tabla1[],3,TRUE)</f>
        <v>26</v>
      </c>
      <c r="K103" s="7">
        <f t="shared" ca="1" si="4"/>
        <v>2524.48</v>
      </c>
      <c r="L103" s="55">
        <f t="shared" ca="1" si="5"/>
        <v>121.93238400000001</v>
      </c>
    </row>
    <row r="104" spans="1:12">
      <c r="A104" s="31">
        <f>VLOOKUP('DB Empleados'!A92,Tabla1[],1,TRUE)</f>
        <v>88</v>
      </c>
      <c r="C104" s="54">
        <f t="shared" ca="1" si="3"/>
        <v>2344.16</v>
      </c>
      <c r="D104" s="16">
        <f ca="1">VLOOKUP('DB Empleados'!C92,Tabla1[],3,TRUE)</f>
        <v>26</v>
      </c>
      <c r="K104" s="7">
        <f t="shared" ca="1" si="4"/>
        <v>2524.48</v>
      </c>
      <c r="L104" s="55">
        <f t="shared" ca="1" si="5"/>
        <v>121.93238400000001</v>
      </c>
    </row>
    <row r="105" spans="1:12">
      <c r="A105" s="31">
        <f>VLOOKUP('DB Empleados'!A93,Tabla1[],1,TRUE)</f>
        <v>89</v>
      </c>
      <c r="C105" s="54">
        <f t="shared" ca="1" si="3"/>
        <v>2434.3199999999997</v>
      </c>
      <c r="D105" s="16">
        <f ca="1">VLOOKUP('DB Empleados'!C93,Tabla1[],3,TRUE)</f>
        <v>27</v>
      </c>
      <c r="K105" s="7">
        <f t="shared" ca="1" si="4"/>
        <v>2524.48</v>
      </c>
      <c r="L105" s="55">
        <f t="shared" ca="1" si="5"/>
        <v>121.93238400000001</v>
      </c>
    </row>
    <row r="106" spans="1:12">
      <c r="A106" s="31">
        <f>VLOOKUP('DB Empleados'!A94,Tabla1[],1,TRUE)</f>
        <v>90</v>
      </c>
      <c r="C106" s="54">
        <f t="shared" ca="1" si="3"/>
        <v>2254</v>
      </c>
      <c r="D106" s="16">
        <f ca="1">VLOOKUP('DB Empleados'!C94,Tabla1[],3,TRUE)</f>
        <v>25</v>
      </c>
      <c r="K106" s="7">
        <f t="shared" ca="1" si="4"/>
        <v>2524.48</v>
      </c>
      <c r="L106" s="55">
        <f t="shared" ca="1" si="5"/>
        <v>121.93238400000001</v>
      </c>
    </row>
    <row r="107" spans="1:12">
      <c r="A107" s="31">
        <f>VLOOKUP('DB Empleados'!A95,Tabla1[],1,TRUE)</f>
        <v>91</v>
      </c>
      <c r="C107" s="54">
        <f t="shared" ca="1" si="3"/>
        <v>2434.3199999999997</v>
      </c>
      <c r="D107" s="16">
        <f ca="1">VLOOKUP('DB Empleados'!C95,Tabla1[],3,TRUE)</f>
        <v>27</v>
      </c>
      <c r="K107" s="7">
        <f t="shared" ca="1" si="4"/>
        <v>2524.48</v>
      </c>
      <c r="L107" s="55">
        <f t="shared" ca="1" si="5"/>
        <v>121.93238400000001</v>
      </c>
    </row>
    <row r="108" spans="1:12">
      <c r="A108" s="31">
        <f>VLOOKUP('DB Empleados'!A96,Tabla1[],1,TRUE)</f>
        <v>92</v>
      </c>
      <c r="C108" s="54">
        <f t="shared" ca="1" si="3"/>
        <v>2344.16</v>
      </c>
      <c r="D108" s="16">
        <f ca="1">VLOOKUP('DB Empleados'!C96,Tabla1[],3,TRUE)</f>
        <v>26</v>
      </c>
      <c r="K108" s="7">
        <f t="shared" ca="1" si="4"/>
        <v>2524.48</v>
      </c>
      <c r="L108" s="55">
        <f t="shared" ca="1" si="5"/>
        <v>121.93238400000001</v>
      </c>
    </row>
    <row r="109" spans="1:12">
      <c r="A109" s="31">
        <f>VLOOKUP('DB Empleados'!A97,Tabla1[],1,TRUE)</f>
        <v>93</v>
      </c>
      <c r="C109" s="54">
        <f t="shared" ca="1" si="3"/>
        <v>2344.16</v>
      </c>
      <c r="D109" s="16">
        <f ca="1">VLOOKUP('DB Empleados'!C97,Tabla1[],3,TRUE)</f>
        <v>26</v>
      </c>
      <c r="K109" s="7">
        <f t="shared" ca="1" si="4"/>
        <v>2524.48</v>
      </c>
      <c r="L109" s="55">
        <f t="shared" ca="1" si="5"/>
        <v>121.93238400000001</v>
      </c>
    </row>
    <row r="110" spans="1:12">
      <c r="A110" s="31">
        <f>VLOOKUP('DB Empleados'!A98,Tabla1[],1,TRUE)</f>
        <v>94</v>
      </c>
      <c r="C110" s="54">
        <f t="shared" ca="1" si="3"/>
        <v>2614.64</v>
      </c>
      <c r="D110" s="16">
        <f ca="1">VLOOKUP('DB Empleados'!C98,Tabla1[],3,TRUE)</f>
        <v>29</v>
      </c>
      <c r="K110" s="7">
        <f t="shared" ca="1" si="4"/>
        <v>2524.48</v>
      </c>
      <c r="L110" s="55">
        <f t="shared" ca="1" si="5"/>
        <v>121.93238400000001</v>
      </c>
    </row>
    <row r="111" spans="1:12">
      <c r="A111" s="31">
        <f>VLOOKUP('DB Empleados'!A99,Tabla1[],1,TRUE)</f>
        <v>95</v>
      </c>
      <c r="C111" s="54">
        <f t="shared" ca="1" si="3"/>
        <v>2434.3199999999997</v>
      </c>
      <c r="D111" s="16">
        <f ca="1">VLOOKUP('DB Empleados'!C99,Tabla1[],3,TRUE)</f>
        <v>27</v>
      </c>
      <c r="K111" s="7">
        <f t="shared" ca="1" si="4"/>
        <v>2524.48</v>
      </c>
      <c r="L111" s="55">
        <f t="shared" ca="1" si="5"/>
        <v>121.93238400000001</v>
      </c>
    </row>
    <row r="112" spans="1:12">
      <c r="A112" s="31">
        <f>VLOOKUP('DB Empleados'!A100,Tabla1[],1,TRUE)</f>
        <v>96</v>
      </c>
      <c r="C112" s="54">
        <f t="shared" ca="1" si="3"/>
        <v>2434.3199999999997</v>
      </c>
      <c r="D112" s="16">
        <f ca="1">VLOOKUP('DB Empleados'!C100,Tabla1[],3,TRUE)</f>
        <v>27</v>
      </c>
      <c r="K112" s="7">
        <f t="shared" ca="1" si="4"/>
        <v>2524.48</v>
      </c>
      <c r="L112" s="55">
        <f t="shared" ca="1" si="5"/>
        <v>121.93238400000001</v>
      </c>
    </row>
    <row r="113" spans="1:12">
      <c r="A113" s="31">
        <f>VLOOKUP('DB Empleados'!A101,Tabla1[],1,TRUE)</f>
        <v>97</v>
      </c>
      <c r="C113" s="54">
        <f t="shared" ca="1" si="3"/>
        <v>2344.16</v>
      </c>
      <c r="D113" s="16">
        <f ca="1">VLOOKUP('DB Empleados'!C101,Tabla1[],3,TRUE)</f>
        <v>26</v>
      </c>
      <c r="K113" s="7">
        <f t="shared" ca="1" si="4"/>
        <v>2524.48</v>
      </c>
      <c r="L113" s="55">
        <f t="shared" ca="1" si="5"/>
        <v>121.93238400000001</v>
      </c>
    </row>
    <row r="114" spans="1:12">
      <c r="A114" s="31">
        <f>VLOOKUP('DB Empleados'!A102,Tabla1[],1,TRUE)</f>
        <v>98</v>
      </c>
      <c r="C114" s="54">
        <f t="shared" ca="1" si="3"/>
        <v>2344.16</v>
      </c>
      <c r="D114" s="16">
        <f ca="1">VLOOKUP('DB Empleados'!C102,Tabla1[],3,TRUE)</f>
        <v>26</v>
      </c>
      <c r="K114" s="7">
        <f t="shared" ca="1" si="4"/>
        <v>2524.48</v>
      </c>
      <c r="L114" s="55">
        <f t="shared" ca="1" si="5"/>
        <v>121.93238400000001</v>
      </c>
    </row>
    <row r="115" spans="1:12">
      <c r="A115" s="31">
        <f>VLOOKUP('DB Empleados'!A103,Tabla1[],1,TRUE)</f>
        <v>99</v>
      </c>
      <c r="C115" s="54">
        <f t="shared" ca="1" si="3"/>
        <v>2434.3199999999997</v>
      </c>
      <c r="D115" s="16">
        <f ca="1">VLOOKUP('DB Empleados'!C103,Tabla1[],3,TRUE)</f>
        <v>27</v>
      </c>
      <c r="K115" s="7">
        <f t="shared" ca="1" si="4"/>
        <v>2524.48</v>
      </c>
      <c r="L115" s="55">
        <f t="shared" ca="1" si="5"/>
        <v>121.93238400000001</v>
      </c>
    </row>
    <row r="116" spans="1:12">
      <c r="A116" s="31">
        <f>VLOOKUP('DB Empleados'!A104,Tabla1[],1,TRUE)</f>
        <v>100</v>
      </c>
      <c r="C116" s="54">
        <f t="shared" ca="1" si="3"/>
        <v>2524.48</v>
      </c>
      <c r="D116" s="16">
        <f ca="1">VLOOKUP('DB Empleados'!C104,Tabla1[],3,TRUE)</f>
        <v>28</v>
      </c>
      <c r="K116" s="7">
        <f t="shared" ca="1" si="4"/>
        <v>2524.48</v>
      </c>
      <c r="L116" s="55">
        <f t="shared" ca="1" si="5"/>
        <v>121.93238400000001</v>
      </c>
    </row>
    <row r="117" spans="1:12">
      <c r="A117" s="3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0" sqref="H20"/>
    </sheetView>
  </sheetViews>
  <sheetFormatPr baseColWidth="10" defaultRowHeight="15"/>
  <sheetData>
    <row r="1" spans="1:1">
      <c r="A1" t="s">
        <v>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Personal</vt:lpstr>
      <vt:lpstr>DB Empleados</vt:lpstr>
      <vt:lpstr>Libro Salarios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2019-06-01T18:02:14Z</dcterms:modified>
</cp:coreProperties>
</file>